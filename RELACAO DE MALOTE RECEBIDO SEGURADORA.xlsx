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ário\Downloads\"/>
    </mc:Choice>
  </mc:AlternateContent>
  <xr:revisionPtr revIDLastSave="0" documentId="13_ncr:1_{974212F6-4BB1-41F0-805B-C16E683E27E7}" xr6:coauthVersionLast="47" xr6:coauthVersionMax="47" xr10:uidLastSave="{00000000-0000-0000-0000-000000000000}"/>
  <bookViews>
    <workbookView xWindow="-120" yWindow="-120" windowWidth="29040" windowHeight="15720" xr2:uid="{A5A1C727-9BF2-4FA6-AD32-FEB667895D8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V44" i="1" l="1"/>
  <c r="V43" i="1"/>
  <c r="V42" i="1"/>
  <c r="V41" i="1"/>
  <c r="V40" i="1"/>
  <c r="V39" i="1"/>
  <c r="V38" i="1"/>
  <c r="V37" i="1"/>
  <c r="V36" i="1"/>
  <c r="V35" i="1"/>
  <c r="V34" i="1"/>
  <c r="V33" i="1"/>
  <c r="V32" i="1"/>
  <c r="V31" i="1"/>
  <c r="V30" i="1"/>
  <c r="V29" i="1"/>
  <c r="V28" i="1"/>
  <c r="V27" i="1"/>
  <c r="V26" i="1"/>
  <c r="V25" i="1"/>
  <c r="V24" i="1"/>
  <c r="V23" i="1"/>
  <c r="V22" i="1"/>
  <c r="V21" i="1"/>
  <c r="V20" i="1"/>
  <c r="V19" i="1"/>
  <c r="V18" i="1"/>
  <c r="V17" i="1"/>
  <c r="V16" i="1"/>
  <c r="V15" i="1"/>
  <c r="V14" i="1"/>
  <c r="V13" i="1"/>
  <c r="V12" i="1"/>
  <c r="V11" i="1"/>
  <c r="V10" i="1"/>
  <c r="V9" i="1"/>
  <c r="V8" i="1"/>
  <c r="V7" i="1"/>
  <c r="V6" i="1"/>
  <c r="V3" i="1"/>
  <c r="V4" i="1"/>
  <c r="V5" i="1"/>
  <c r="V2" i="1"/>
</calcChain>
</file>

<file path=xl/sharedStrings.xml><?xml version="1.0" encoding="utf-8"?>
<sst xmlns="http://schemas.openxmlformats.org/spreadsheetml/2006/main" count="307" uniqueCount="120">
  <si>
    <t>TIPO</t>
  </si>
  <si>
    <t>PROPOSTA</t>
  </si>
  <si>
    <t>STATUS</t>
  </si>
  <si>
    <t>MODELO</t>
  </si>
  <si>
    <t>NOME PROPONENTE</t>
  </si>
  <si>
    <t>CPF</t>
  </si>
  <si>
    <t>AGENTE MAG</t>
  </si>
  <si>
    <t xml:space="preserve">A PARTIR DE </t>
  </si>
  <si>
    <t>NOVA</t>
  </si>
  <si>
    <t>IMPLANTADA</t>
  </si>
  <si>
    <t>E4E – PROPOSTA FLORIPAPREV</t>
  </si>
  <si>
    <t>ADRIANA DE JESUS MOREIRA WENGLAREK</t>
  </si>
  <si>
    <t>003.981.499-84</t>
  </si>
  <si>
    <t>27003068-MICHELE FÁTIMA ANGOLERI DOS SANTOS</t>
  </si>
  <si>
    <t xml:space="preserve">SUPLEMENTAR </t>
  </si>
  <si>
    <t>DALTON CEZER GONCALVES DE SOUZA</t>
  </si>
  <si>
    <t>27003276 - LETICIA CARPES RODRIGUES</t>
  </si>
  <si>
    <t>LEONARDO STADLER PEZZINI</t>
  </si>
  <si>
    <t>CLEOMAR JOSE CAMILO EUGENIO</t>
  </si>
  <si>
    <t>040.824.319-85</t>
  </si>
  <si>
    <t>051.587.319-50</t>
  </si>
  <si>
    <t>052.476.059-42</t>
  </si>
  <si>
    <t>Total</t>
  </si>
  <si>
    <t>2554 - PECÚLIO POR MORTE PÚBLICO PARTICIPANTE</t>
  </si>
  <si>
    <t>2554 - PECÚLIO POR MORTE PÚBLICO PATROCINADORA</t>
  </si>
  <si>
    <t>2553 - PECÚLIO POR INVALIDEZ PÚBLICO PATROCINADORA</t>
  </si>
  <si>
    <t>CAPITAL SEGURADO (R$)</t>
  </si>
  <si>
    <t>STATUS NO 104</t>
  </si>
  <si>
    <t>2029 - ADICIONAL PECÚLIO POR MORTE PÚBLICO</t>
  </si>
  <si>
    <t>2030 - ADICIONAL PECÚLIO POR INVALIDEZ PÚBLICO</t>
  </si>
  <si>
    <t>2553 - PECÚLIO POR INVALIDEZ PÚBLICO PARTICIPANTE</t>
  </si>
  <si>
    <t>Malote Nucleo</t>
  </si>
  <si>
    <t>LEONARDO DA SILVA ASSIS</t>
  </si>
  <si>
    <t>RAFAEL RICARDO BRUXEL</t>
  </si>
  <si>
    <t>ALEXANDRE RAMOS MAGNAVITA DE SOUZA</t>
  </si>
  <si>
    <t>MAURICIO BACK WESTRUPP</t>
  </si>
  <si>
    <t>ANGRA DA SILVA LAURINDO</t>
  </si>
  <si>
    <t>27003357 - GABRIELE AMARANTE MAIE</t>
  </si>
  <si>
    <t>CAIO CESAR BORGES BELICO</t>
  </si>
  <si>
    <t>BRUNO DE BAKKER E SILVA</t>
  </si>
  <si>
    <t>GEORGES MAVROS FILIZZOLA</t>
  </si>
  <si>
    <t>BRUNO VIZIOLI</t>
  </si>
  <si>
    <t>ANDRE LAURENCE FERNANDES</t>
  </si>
  <si>
    <t>ID</t>
  </si>
  <si>
    <t>SUPLEMENTAR </t>
  </si>
  <si>
    <t>SUPLEMENTAR</t>
  </si>
  <si>
    <t>045.403.206-45</t>
  </si>
  <si>
    <t>047.819.339-47</t>
  </si>
  <si>
    <t>050.845.575-88</t>
  </si>
  <si>
    <t>068.427.379-90</t>
  </si>
  <si>
    <t>009.015.219-06</t>
  </si>
  <si>
    <t>358.768.948-26</t>
  </si>
  <si>
    <t>063.734.909-12</t>
  </si>
  <si>
    <t>035.3351.748-97</t>
  </si>
  <si>
    <t>019.019.601-70</t>
  </si>
  <si>
    <t>539.852.140-34</t>
  </si>
  <si>
    <t>ITALANGE VIANA ALVARES</t>
  </si>
  <si>
    <t>084.041.307-60</t>
  </si>
  <si>
    <t>CHRISTIANE SANTOS DA ROCHA</t>
  </si>
  <si>
    <t>003.785.900-57</t>
  </si>
  <si>
    <t>EDUARDO TREIN SALGADO</t>
  </si>
  <si>
    <t>007.784.030-50</t>
  </si>
  <si>
    <t>NICHOLAS CARDOSO GOMES DA SILVA</t>
  </si>
  <si>
    <t>066.019.819-31</t>
  </si>
  <si>
    <t>JACQUES KRTICKA CARVALHO</t>
  </si>
  <si>
    <t>009.187.890-01</t>
  </si>
  <si>
    <t>MARCELO SALLES OLINGER</t>
  </si>
  <si>
    <t>073.383.479-56</t>
  </si>
  <si>
    <t>VICTOR YBARZO FECHINE</t>
  </si>
  <si>
    <t>360.909.438-94</t>
  </si>
  <si>
    <t>*</t>
  </si>
  <si>
    <t>012.374.340-09</t>
  </si>
  <si>
    <t>ADRIANO CORREA DE SOUZA</t>
  </si>
  <si>
    <t>093.425.439-79</t>
  </si>
  <si>
    <t>27003068 - MICHELE FÁTIMA ANGOLERI DOS SANTOS</t>
  </si>
  <si>
    <t>JACINTA MILANEZ GISLON</t>
  </si>
  <si>
    <t>053.742.579-94</t>
  </si>
  <si>
    <t>CAROLINE FOGGIATO FERREIRA</t>
  </si>
  <si>
    <t>DIEGO DILLY BOTH</t>
  </si>
  <si>
    <t>023.694.010-44</t>
  </si>
  <si>
    <t>VANESSA DIAS PEREIRA</t>
  </si>
  <si>
    <t>049.775.226-30</t>
  </si>
  <si>
    <t>LUIZA LUZ SARTORATO</t>
  </si>
  <si>
    <t>088.331.389-84</t>
  </si>
  <si>
    <t>FERNANDA CRISTINA MELO</t>
  </si>
  <si>
    <t>041.439.699-55</t>
  </si>
  <si>
    <t>NEIVA ALMEIDA DE NOVAIS PEREIRA</t>
  </si>
  <si>
    <t>331.731.668-33</t>
  </si>
  <si>
    <t>PRISCILA KOCH</t>
  </si>
  <si>
    <t>057.417.119-36</t>
  </si>
  <si>
    <t>TAYNARA CRISTINA SILVA RIBEIRO</t>
  </si>
  <si>
    <t>132.977.696-88</t>
  </si>
  <si>
    <t>053.558.239-04</t>
  </si>
  <si>
    <t>RENATA TANI SUGA</t>
  </si>
  <si>
    <t>086.347.579.51</t>
  </si>
  <si>
    <t>TATIANNA FERRARO R DOS SANTOS</t>
  </si>
  <si>
    <t>essa participante possui adicional de 1%</t>
  </si>
  <si>
    <t>Implantada</t>
  </si>
  <si>
    <t>E4E - FUMPRESC - FLORIPAPREV PDF</t>
  </si>
  <si>
    <t>GLAUCIO PEREIRA DE SOUZA</t>
  </si>
  <si>
    <t>DOUGLAS MANOEL GUIMARAES</t>
  </si>
  <si>
    <t>MIRIANE PEREIRA DREWS</t>
  </si>
  <si>
    <t>MAURICIO JOSE SANTOS MOREIRA</t>
  </si>
  <si>
    <t>852.034.167-53</t>
  </si>
  <si>
    <t>088.158.889-00</t>
  </si>
  <si>
    <t>076.606.299-64</t>
  </si>
  <si>
    <t>006.837.970-69</t>
  </si>
  <si>
    <t>ADESAO AUTOMATICA</t>
  </si>
  <si>
    <t>ANDRESSA PEDRO BARBOSA</t>
  </si>
  <si>
    <t>022.110.480-13</t>
  </si>
  <si>
    <t>CITRYA JAKELLINNE ALVES SOUSA</t>
  </si>
  <si>
    <t>003.346.871-01</t>
  </si>
  <si>
    <t>DAMARIS BORGES CONSENTINS ANTUNES</t>
  </si>
  <si>
    <t>013.040.130-73</t>
  </si>
  <si>
    <t>DORA CAROLINA DIEDRICH SALDANHA</t>
  </si>
  <si>
    <t>095.356.429-01</t>
  </si>
  <si>
    <t>PAULO RICARDO ILHA JIQUIRICA</t>
  </si>
  <si>
    <t>140.607.718-64</t>
  </si>
  <si>
    <t>SAMAN BELIZARIO BROERING</t>
  </si>
  <si>
    <t>055.912.859-29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</si>
</sst>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11" x14ac:knownFonts="1">
    <font>
      <sz val="11"/>
      <color theme="1"/>
      <name val="Arial"/>
      <family val="2"/>
    </font>
    <font>
      <b/>
      <sz val="11"/>
      <color rgb="FFFFFFFF"/>
      <name val="Aptos Mono"/>
      <family val="3"/>
    </font>
    <font>
      <b/>
      <sz val="11"/>
      <color rgb="FF000000"/>
      <name val="Aptos Mono"/>
      <family val="3"/>
    </font>
    <font>
      <sz val="11"/>
      <color theme="1"/>
      <name val="Aptos Mono"/>
      <family val="3"/>
    </font>
    <font>
      <sz val="11"/>
      <color rgb="FF000000"/>
      <name val="Aptos Mono"/>
      <family val="3"/>
    </font>
    <font>
      <b/>
      <sz val="11"/>
      <color rgb="FFFFFF00"/>
      <name val="Aptos Mono"/>
      <family val="3"/>
    </font>
    <font>
      <b/>
      <sz val="11"/>
      <color theme="2" tint="-0.89999084444715716"/>
      <name val="Aptos Mono"/>
      <family val="3"/>
    </font>
    <font>
      <b/>
      <sz val="11"/>
      <color theme="3" tint="0.89999084444715716"/>
      <name val="Aptos Mono"/>
      <family val="3"/>
    </font>
    <font>
      <b/>
      <sz val="11"/>
      <color rgb="FFFFFFFF"/>
      <name val="Aptos Narrow"/>
      <family val="2"/>
    </font>
    <font>
      <sz val="11"/>
      <color theme="2" tint="-0.89999084444715716"/>
      <name val="Aptos Mono"/>
      <family val="3"/>
    </font>
    <font>
      <b/>
      <sz val="11"/>
      <color theme="1"/>
      <name val="Aptos Mono"/>
      <family val="3"/>
    </font>
  </fonts>
  <fills count="9">
    <fill>
      <patternFill patternType="none"/>
    </fill>
    <fill>
      <patternFill patternType="gray125"/>
    </fill>
    <fill>
      <patternFill patternType="solid">
        <fgColor rgb="FF1F497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9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3" fillId="0" borderId="0" xfId="0" applyFont="1"/>
    <xf numFmtId="0" fontId="6" fillId="6" borderId="1" xfId="0" applyFont="1" applyFill="1" applyBorder="1" applyAlignment="1">
      <alignment horizontal="center" vertical="center" wrapText="1"/>
    </xf>
    <xf numFmtId="14" fontId="3" fillId="5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4" fontId="9" fillId="4" borderId="1" xfId="0" applyNumberFormat="1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8" fillId="2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164" fontId="9" fillId="4" borderId="1" xfId="0" applyNumberFormat="1" applyFont="1" applyFill="1" applyBorder="1" applyAlignment="1">
      <alignment horizontal="right" vertical="center"/>
    </xf>
    <xf numFmtId="17" fontId="6" fillId="4" borderId="1" xfId="0" applyNumberFormat="1" applyFont="1" applyFill="1" applyBorder="1" applyAlignment="1">
      <alignment horizontal="center" vertical="center"/>
    </xf>
    <xf numFmtId="0" fontId="9" fillId="4" borderId="1" xfId="0" applyFont="1" applyFill="1" applyBorder="1"/>
    <xf numFmtId="14" fontId="9" fillId="5" borderId="1" xfId="0" applyNumberFormat="1" applyFont="1" applyFill="1" applyBorder="1" applyAlignment="1">
      <alignment horizontal="center" vertical="center"/>
    </xf>
    <xf numFmtId="2" fontId="9" fillId="4" borderId="1" xfId="0" applyNumberFormat="1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vertical="center"/>
    </xf>
    <xf numFmtId="0" fontId="4" fillId="7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left" vertical="center"/>
    </xf>
    <xf numFmtId="17" fontId="4" fillId="7" borderId="1" xfId="0" applyNumberFormat="1" applyFont="1" applyFill="1" applyBorder="1" applyAlignment="1">
      <alignment horizontal="center" vertical="center"/>
    </xf>
    <xf numFmtId="4" fontId="3" fillId="7" borderId="1" xfId="0" applyNumberFormat="1" applyFont="1" applyFill="1" applyBorder="1" applyAlignment="1">
      <alignment horizontal="center" vertical="center"/>
    </xf>
    <xf numFmtId="164" fontId="3" fillId="7" borderId="1" xfId="0" applyNumberFormat="1" applyFont="1" applyFill="1" applyBorder="1" applyAlignment="1">
      <alignment horizontal="right" vertical="center"/>
    </xf>
    <xf numFmtId="0" fontId="4" fillId="7" borderId="1" xfId="0" applyFont="1" applyFill="1" applyBorder="1" applyAlignment="1">
      <alignment horizontal="right" vertical="center"/>
    </xf>
    <xf numFmtId="0" fontId="3" fillId="7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vertical="center"/>
    </xf>
    <xf numFmtId="17" fontId="9" fillId="7" borderId="1" xfId="0" applyNumberFormat="1" applyFont="1" applyFill="1" applyBorder="1" applyAlignment="1">
      <alignment horizontal="center" vertical="center"/>
    </xf>
    <xf numFmtId="4" fontId="9" fillId="7" borderId="1" xfId="0" applyNumberFormat="1" applyFont="1" applyFill="1" applyBorder="1" applyAlignment="1">
      <alignment horizontal="center" vertical="center"/>
    </xf>
    <xf numFmtId="164" fontId="9" fillId="7" borderId="1" xfId="0" applyNumberFormat="1" applyFont="1" applyFill="1" applyBorder="1" applyAlignment="1">
      <alignment horizontal="right" vertical="center"/>
    </xf>
    <xf numFmtId="0" fontId="10" fillId="0" borderId="0" xfId="0" applyFont="1"/>
    <xf numFmtId="0" fontId="9" fillId="7" borderId="1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left" vertical="center"/>
    </xf>
    <xf numFmtId="0" fontId="3" fillId="0" borderId="0" xfId="0" applyFont="1" applyAlignment="1">
      <alignment horizontal="left"/>
    </xf>
    <xf numFmtId="0" fontId="9" fillId="8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vertical="center"/>
    </xf>
    <xf numFmtId="0" fontId="4" fillId="8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left" vertical="center"/>
    </xf>
    <xf numFmtId="17" fontId="4" fillId="8" borderId="1" xfId="0" applyNumberFormat="1" applyFont="1" applyFill="1" applyBorder="1" applyAlignment="1">
      <alignment horizontal="center" vertical="center"/>
    </xf>
    <xf numFmtId="4" fontId="3" fillId="8" borderId="1" xfId="0" applyNumberFormat="1" applyFont="1" applyFill="1" applyBorder="1" applyAlignment="1">
      <alignment horizontal="center" vertical="center"/>
    </xf>
    <xf numFmtId="164" fontId="3" fillId="8" borderId="1" xfId="0" applyNumberFormat="1" applyFont="1" applyFill="1" applyBorder="1" applyAlignment="1">
      <alignment horizontal="right" vertical="center"/>
    </xf>
    <xf numFmtId="0" fontId="3" fillId="8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vertical="center"/>
    </xf>
    <xf numFmtId="17" fontId="9" fillId="8" borderId="1" xfId="0" applyNumberFormat="1" applyFont="1" applyFill="1" applyBorder="1" applyAlignment="1">
      <alignment horizontal="center" vertical="center"/>
    </xf>
    <xf numFmtId="4" fontId="9" fillId="8" borderId="1" xfId="0" applyNumberFormat="1" applyFont="1" applyFill="1" applyBorder="1" applyAlignment="1">
      <alignment horizontal="center" vertical="center"/>
    </xf>
    <xf numFmtId="164" fontId="9" fillId="8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A77C8-C24F-471E-AB32-3FEAD74EC923}">
  <dimension ref="A1:Y44"/>
  <sheetViews>
    <sheetView tabSelected="1" topLeftCell="K1" workbookViewId="0">
      <selection activeCell="P44" sqref="P44"/>
    </sheetView>
  </sheetViews>
  <sheetFormatPr defaultRowHeight="15" x14ac:dyDescent="0.25"/>
  <cols>
    <col min="1" max="1" width="6.75" style="7" bestFit="1" customWidth="1"/>
    <col min="2" max="3" width="20.5" style="1" bestFit="1" customWidth="1"/>
    <col min="4" max="4" width="12.375" style="1" bestFit="1" customWidth="1"/>
    <col min="5" max="5" width="38" style="35" bestFit="1" customWidth="1"/>
    <col min="6" max="6" width="40.25" style="1" bestFit="1" customWidth="1"/>
    <col min="7" max="7" width="18.25" style="1" bestFit="1" customWidth="1"/>
    <col min="8" max="8" width="53" style="1" bestFit="1" customWidth="1"/>
    <col min="9" max="9" width="14.75" style="7" bestFit="1" customWidth="1"/>
    <col min="10" max="10" width="28.625" style="1" bestFit="1" customWidth="1"/>
    <col min="11" max="11" width="19.375" style="1" bestFit="1" customWidth="1"/>
    <col min="12" max="12" width="28.625" style="1" bestFit="1" customWidth="1"/>
    <col min="13" max="13" width="19.375" style="1" bestFit="1" customWidth="1"/>
    <col min="14" max="14" width="33.25" style="1" bestFit="1" customWidth="1"/>
    <col min="15" max="15" width="19.375" style="1" bestFit="1" customWidth="1"/>
    <col min="16" max="16" width="33.25" style="1" bestFit="1" customWidth="1"/>
    <col min="17" max="17" width="19.375" style="1" bestFit="1" customWidth="1"/>
    <col min="18" max="18" width="28.625" style="1" bestFit="1" customWidth="1"/>
    <col min="19" max="19" width="19.375" style="1" bestFit="1" customWidth="1"/>
    <col min="20" max="20" width="28.625" style="1" bestFit="1" customWidth="1"/>
    <col min="21" max="21" width="19.375" style="1" bestFit="1" customWidth="1"/>
    <col min="22" max="22" width="13.625" style="1" bestFit="1" customWidth="1"/>
    <col min="23" max="24" width="15.875" style="1" bestFit="1" customWidth="1"/>
    <col min="25" max="25" width="47.25" style="1" bestFit="1" customWidth="1"/>
    <col min="26" max="16384" width="9" style="1"/>
  </cols>
  <sheetData>
    <row r="1" spans="1:25" ht="43.5" customHeight="1" x14ac:dyDescent="0.25">
      <c r="A1" s="8" t="s">
        <v>43</v>
      </c>
      <c r="B1" s="10" t="s">
        <v>0</v>
      </c>
      <c r="C1" s="10" t="s">
        <v>1</v>
      </c>
      <c r="D1" s="10" t="s">
        <v>2</v>
      </c>
      <c r="E1" s="10" t="s">
        <v>3</v>
      </c>
      <c r="F1" s="10" t="s">
        <v>4</v>
      </c>
      <c r="G1" s="10" t="s">
        <v>5</v>
      </c>
      <c r="H1" s="10" t="s">
        <v>6</v>
      </c>
      <c r="I1" s="11" t="s">
        <v>7</v>
      </c>
      <c r="J1" s="12" t="s">
        <v>23</v>
      </c>
      <c r="K1" s="13" t="s">
        <v>26</v>
      </c>
      <c r="L1" s="12" t="s">
        <v>24</v>
      </c>
      <c r="M1" s="13" t="s">
        <v>26</v>
      </c>
      <c r="N1" s="12" t="s">
        <v>30</v>
      </c>
      <c r="O1" s="13" t="s">
        <v>26</v>
      </c>
      <c r="P1" s="12" t="s">
        <v>25</v>
      </c>
      <c r="Q1" s="13" t="s">
        <v>26</v>
      </c>
      <c r="R1" s="12" t="s">
        <v>28</v>
      </c>
      <c r="S1" s="13" t="s">
        <v>26</v>
      </c>
      <c r="T1" s="12" t="s">
        <v>29</v>
      </c>
      <c r="U1" s="13" t="s">
        <v>26</v>
      </c>
      <c r="V1" s="12" t="s">
        <v>22</v>
      </c>
      <c r="W1" s="4" t="s">
        <v>27</v>
      </c>
      <c r="X1" s="2" t="s">
        <v>31</v>
      </c>
    </row>
    <row r="2" spans="1:25" x14ac:dyDescent="0.25">
      <c r="A2" s="19">
        <v>53946</v>
      </c>
      <c r="B2" s="20" t="s">
        <v>8</v>
      </c>
      <c r="C2" s="21">
        <v>115935528</v>
      </c>
      <c r="D2" s="21" t="s">
        <v>9</v>
      </c>
      <c r="E2" s="22" t="s">
        <v>10</v>
      </c>
      <c r="F2" s="22" t="s">
        <v>11</v>
      </c>
      <c r="G2" s="21" t="s">
        <v>12</v>
      </c>
      <c r="H2" s="22" t="s">
        <v>13</v>
      </c>
      <c r="I2" s="23">
        <v>46235</v>
      </c>
      <c r="J2" s="24">
        <v>6.62</v>
      </c>
      <c r="K2" s="24">
        <v>20319.400000000001</v>
      </c>
      <c r="L2" s="24">
        <v>6.62</v>
      </c>
      <c r="M2" s="24">
        <v>20319.400000000001</v>
      </c>
      <c r="N2" s="24">
        <v>3.43</v>
      </c>
      <c r="O2" s="24">
        <v>20319.400000000001</v>
      </c>
      <c r="P2" s="24">
        <v>3.43</v>
      </c>
      <c r="Q2" s="24">
        <v>20319.400000000001</v>
      </c>
      <c r="R2" s="24">
        <v>0</v>
      </c>
      <c r="S2" s="24">
        <v>0</v>
      </c>
      <c r="T2" s="24">
        <v>50</v>
      </c>
      <c r="U2" s="24">
        <v>295857.99</v>
      </c>
      <c r="V2" s="25">
        <f>SUM(J2,L2,N2,P2,R2,T2)</f>
        <v>70.099999999999994</v>
      </c>
      <c r="W2" s="24" t="s">
        <v>9</v>
      </c>
      <c r="X2" s="3">
        <v>46213</v>
      </c>
      <c r="Y2" s="1" t="s">
        <v>70</v>
      </c>
    </row>
    <row r="3" spans="1:25" x14ac:dyDescent="0.25">
      <c r="A3" s="19">
        <v>62590</v>
      </c>
      <c r="B3" s="20" t="s">
        <v>14</v>
      </c>
      <c r="C3" s="21">
        <v>115937631</v>
      </c>
      <c r="D3" s="21" t="s">
        <v>9</v>
      </c>
      <c r="E3" s="22" t="s">
        <v>10</v>
      </c>
      <c r="F3" s="22" t="s">
        <v>15</v>
      </c>
      <c r="G3" s="26" t="s">
        <v>19</v>
      </c>
      <c r="H3" s="20" t="s">
        <v>16</v>
      </c>
      <c r="I3" s="23">
        <v>46235</v>
      </c>
      <c r="J3" s="24">
        <v>140.44</v>
      </c>
      <c r="K3" s="24">
        <v>431385.89</v>
      </c>
      <c r="L3" s="24">
        <v>140.44</v>
      </c>
      <c r="M3" s="24">
        <v>431385.89</v>
      </c>
      <c r="N3" s="24">
        <v>72.900000000000006</v>
      </c>
      <c r="O3" s="24">
        <v>431385.89</v>
      </c>
      <c r="P3" s="24">
        <v>72.900000000000006</v>
      </c>
      <c r="Q3" s="24">
        <v>431385.89</v>
      </c>
      <c r="R3" s="24">
        <v>200</v>
      </c>
      <c r="S3" s="24">
        <v>614326.07999999996</v>
      </c>
      <c r="T3" s="24">
        <v>100</v>
      </c>
      <c r="U3" s="24">
        <v>591715.98</v>
      </c>
      <c r="V3" s="25">
        <f t="shared" ref="V3:V5" si="0">SUM(J3,L3,N3,P3,R3,T3)</f>
        <v>726.68</v>
      </c>
      <c r="W3" s="24" t="s">
        <v>9</v>
      </c>
      <c r="X3" s="3">
        <v>46213</v>
      </c>
    </row>
    <row r="4" spans="1:25" x14ac:dyDescent="0.25">
      <c r="A4" s="19">
        <v>55064</v>
      </c>
      <c r="B4" s="20" t="s">
        <v>14</v>
      </c>
      <c r="C4" s="21">
        <v>115937636</v>
      </c>
      <c r="D4" s="21" t="s">
        <v>9</v>
      </c>
      <c r="E4" s="22" t="s">
        <v>10</v>
      </c>
      <c r="F4" s="22" t="s">
        <v>17</v>
      </c>
      <c r="G4" s="26" t="s">
        <v>20</v>
      </c>
      <c r="H4" s="20" t="s">
        <v>16</v>
      </c>
      <c r="I4" s="23">
        <v>46235</v>
      </c>
      <c r="J4" s="24">
        <v>52.87</v>
      </c>
      <c r="K4" s="24">
        <v>274950.17</v>
      </c>
      <c r="L4" s="24">
        <v>52.87</v>
      </c>
      <c r="M4" s="24">
        <v>274950.17</v>
      </c>
      <c r="N4" s="24">
        <v>35.01</v>
      </c>
      <c r="O4" s="24">
        <v>274950.17</v>
      </c>
      <c r="P4" s="24">
        <v>35.01</v>
      </c>
      <c r="Q4" s="24">
        <v>274950.17</v>
      </c>
      <c r="R4" s="24">
        <v>0</v>
      </c>
      <c r="S4" s="24">
        <v>0</v>
      </c>
      <c r="T4" s="24">
        <v>400</v>
      </c>
      <c r="U4" s="24">
        <v>3141369.48</v>
      </c>
      <c r="V4" s="25">
        <f t="shared" si="0"/>
        <v>575.76</v>
      </c>
      <c r="W4" s="27" t="s">
        <v>9</v>
      </c>
      <c r="X4" s="3">
        <v>46213</v>
      </c>
    </row>
    <row r="5" spans="1:25" x14ac:dyDescent="0.25">
      <c r="A5" s="19">
        <v>55054</v>
      </c>
      <c r="B5" s="20" t="s">
        <v>14</v>
      </c>
      <c r="C5" s="21">
        <v>115937635</v>
      </c>
      <c r="D5" s="21" t="s">
        <v>9</v>
      </c>
      <c r="E5" s="22" t="s">
        <v>10</v>
      </c>
      <c r="F5" s="22" t="s">
        <v>18</v>
      </c>
      <c r="G5" s="26" t="s">
        <v>21</v>
      </c>
      <c r="H5" s="20" t="s">
        <v>16</v>
      </c>
      <c r="I5" s="23">
        <v>46235</v>
      </c>
      <c r="J5" s="24">
        <v>50.22</v>
      </c>
      <c r="K5" s="24">
        <v>261159.56</v>
      </c>
      <c r="L5" s="24">
        <v>50.22</v>
      </c>
      <c r="M5" s="24">
        <v>261159.56</v>
      </c>
      <c r="N5" s="24">
        <v>33.25</v>
      </c>
      <c r="O5" s="24">
        <v>261159.56</v>
      </c>
      <c r="P5" s="24">
        <v>33.25</v>
      </c>
      <c r="Q5" s="24">
        <v>261159.56</v>
      </c>
      <c r="R5" s="24">
        <v>0</v>
      </c>
      <c r="S5" s="24">
        <v>0</v>
      </c>
      <c r="T5" s="24">
        <v>0</v>
      </c>
      <c r="U5" s="24">
        <v>0</v>
      </c>
      <c r="V5" s="25">
        <f t="shared" si="0"/>
        <v>166.94</v>
      </c>
      <c r="W5" s="27" t="s">
        <v>9</v>
      </c>
      <c r="X5" s="3">
        <v>46213</v>
      </c>
    </row>
    <row r="6" spans="1:25" x14ac:dyDescent="0.25">
      <c r="A6" s="19">
        <v>62592</v>
      </c>
      <c r="B6" s="28" t="s">
        <v>44</v>
      </c>
      <c r="C6" s="19">
        <v>115937633</v>
      </c>
      <c r="D6" s="19" t="s">
        <v>9</v>
      </c>
      <c r="E6" s="33" t="s">
        <v>10</v>
      </c>
      <c r="F6" s="28" t="s">
        <v>32</v>
      </c>
      <c r="G6" s="28" t="s">
        <v>46</v>
      </c>
      <c r="H6" s="28" t="s">
        <v>16</v>
      </c>
      <c r="I6" s="29">
        <v>46235</v>
      </c>
      <c r="J6" s="30">
        <v>181.54</v>
      </c>
      <c r="K6" s="30">
        <v>557631.23</v>
      </c>
      <c r="L6" s="30">
        <v>181.54</v>
      </c>
      <c r="M6" s="30">
        <v>557631.23</v>
      </c>
      <c r="N6" s="30">
        <v>94.24</v>
      </c>
      <c r="O6" s="30">
        <v>557631.23</v>
      </c>
      <c r="P6" s="30">
        <v>94.24</v>
      </c>
      <c r="Q6" s="30">
        <v>557631.23</v>
      </c>
      <c r="R6" s="30">
        <v>0</v>
      </c>
      <c r="S6" s="30">
        <v>0</v>
      </c>
      <c r="T6" s="30">
        <v>300</v>
      </c>
      <c r="U6" s="30">
        <v>1775147.93</v>
      </c>
      <c r="V6" s="31">
        <f>SUM(T6,R6,P6,N6,L6,J6)</f>
        <v>851.56</v>
      </c>
      <c r="W6" s="30" t="s">
        <v>9</v>
      </c>
      <c r="X6" s="3">
        <v>46234</v>
      </c>
    </row>
    <row r="7" spans="1:25" x14ac:dyDescent="0.25">
      <c r="A7" s="19">
        <v>62596</v>
      </c>
      <c r="B7" s="28" t="s">
        <v>44</v>
      </c>
      <c r="C7" s="19">
        <v>115937634</v>
      </c>
      <c r="D7" s="19" t="s">
        <v>9</v>
      </c>
      <c r="E7" s="33" t="s">
        <v>10</v>
      </c>
      <c r="F7" s="28" t="s">
        <v>33</v>
      </c>
      <c r="G7" s="28" t="s">
        <v>47</v>
      </c>
      <c r="H7" s="28" t="s">
        <v>16</v>
      </c>
      <c r="I7" s="29">
        <v>46235</v>
      </c>
      <c r="J7" s="30">
        <v>241.41</v>
      </c>
      <c r="K7" s="30">
        <v>741534.7</v>
      </c>
      <c r="L7" s="30">
        <v>241.41</v>
      </c>
      <c r="M7" s="30">
        <v>741534.7</v>
      </c>
      <c r="N7" s="30">
        <v>125.32</v>
      </c>
      <c r="O7" s="30">
        <v>741534.7</v>
      </c>
      <c r="P7" s="30">
        <v>125.32</v>
      </c>
      <c r="Q7" s="30">
        <v>741534.7</v>
      </c>
      <c r="R7" s="30">
        <v>100</v>
      </c>
      <c r="S7" s="30">
        <v>307163.03999999998</v>
      </c>
      <c r="T7" s="30">
        <v>150</v>
      </c>
      <c r="U7" s="30">
        <v>887573.96</v>
      </c>
      <c r="V7" s="31">
        <f t="shared" ref="V7:V15" si="1">SUM(T7,R7,P7,N7,L7,J7)</f>
        <v>983.45999999999992</v>
      </c>
      <c r="W7" s="30" t="s">
        <v>9</v>
      </c>
      <c r="X7" s="3">
        <v>46234</v>
      </c>
    </row>
    <row r="8" spans="1:25" x14ac:dyDescent="0.25">
      <c r="A8" s="19">
        <v>56516</v>
      </c>
      <c r="B8" s="28" t="s">
        <v>44</v>
      </c>
      <c r="C8" s="19">
        <v>115937638</v>
      </c>
      <c r="D8" s="28" t="s">
        <v>9</v>
      </c>
      <c r="E8" s="33" t="s">
        <v>10</v>
      </c>
      <c r="F8" s="28" t="s">
        <v>34</v>
      </c>
      <c r="G8" s="28" t="s">
        <v>48</v>
      </c>
      <c r="H8" s="28" t="s">
        <v>16</v>
      </c>
      <c r="I8" s="29">
        <v>46235</v>
      </c>
      <c r="J8" s="30">
        <v>42.23</v>
      </c>
      <c r="K8" s="30">
        <v>322355.37</v>
      </c>
      <c r="L8" s="30">
        <v>42.23</v>
      </c>
      <c r="M8" s="30">
        <v>322355.37</v>
      </c>
      <c r="N8" s="30">
        <v>32.5</v>
      </c>
      <c r="O8" s="30">
        <v>322355.37</v>
      </c>
      <c r="P8" s="30">
        <v>32.5</v>
      </c>
      <c r="Q8" s="30">
        <v>322355.37</v>
      </c>
      <c r="R8" s="30">
        <v>0</v>
      </c>
      <c r="S8" s="30">
        <v>0</v>
      </c>
      <c r="T8" s="30">
        <v>0</v>
      </c>
      <c r="U8" s="30">
        <v>0</v>
      </c>
      <c r="V8" s="31">
        <f t="shared" si="1"/>
        <v>149.45999999999998</v>
      </c>
      <c r="W8" s="19" t="s">
        <v>9</v>
      </c>
      <c r="X8" s="3">
        <v>46234</v>
      </c>
    </row>
    <row r="9" spans="1:25" x14ac:dyDescent="0.25">
      <c r="A9" s="19">
        <v>62594</v>
      </c>
      <c r="B9" s="28" t="s">
        <v>44</v>
      </c>
      <c r="C9" s="19">
        <v>115937639</v>
      </c>
      <c r="D9" s="28" t="s">
        <v>9</v>
      </c>
      <c r="E9" s="33" t="s">
        <v>10</v>
      </c>
      <c r="F9" s="28" t="s">
        <v>35</v>
      </c>
      <c r="G9" s="28" t="s">
        <v>49</v>
      </c>
      <c r="H9" s="28" t="s">
        <v>16</v>
      </c>
      <c r="I9" s="29">
        <v>46235</v>
      </c>
      <c r="J9" s="30">
        <v>58.54</v>
      </c>
      <c r="K9" s="30">
        <v>304424.75</v>
      </c>
      <c r="L9" s="30">
        <v>58.54</v>
      </c>
      <c r="M9" s="30">
        <v>304424.75</v>
      </c>
      <c r="N9" s="30">
        <v>38.76</v>
      </c>
      <c r="O9" s="30">
        <v>304424.75</v>
      </c>
      <c r="P9" s="30">
        <v>38.76</v>
      </c>
      <c r="Q9" s="30">
        <v>304424.75</v>
      </c>
      <c r="R9" s="30">
        <v>175</v>
      </c>
      <c r="S9" s="30">
        <v>910045.87</v>
      </c>
      <c r="T9" s="30">
        <v>125</v>
      </c>
      <c r="U9" s="30">
        <v>981677.96</v>
      </c>
      <c r="V9" s="31">
        <f t="shared" si="1"/>
        <v>494.6</v>
      </c>
      <c r="W9" s="19" t="s">
        <v>9</v>
      </c>
      <c r="X9" s="3">
        <v>46234</v>
      </c>
    </row>
    <row r="10" spans="1:25" x14ac:dyDescent="0.25">
      <c r="A10" s="19">
        <v>54015</v>
      </c>
      <c r="B10" s="28" t="s">
        <v>44</v>
      </c>
      <c r="C10" s="19">
        <v>115971164</v>
      </c>
      <c r="D10" s="28" t="s">
        <v>9</v>
      </c>
      <c r="E10" s="33" t="s">
        <v>10</v>
      </c>
      <c r="F10" s="28" t="s">
        <v>36</v>
      </c>
      <c r="G10" s="28" t="s">
        <v>50</v>
      </c>
      <c r="H10" s="28" t="s">
        <v>37</v>
      </c>
      <c r="I10" s="29">
        <v>46235</v>
      </c>
      <c r="J10" s="30">
        <v>37.090000000000003</v>
      </c>
      <c r="K10" s="30">
        <v>113915.44</v>
      </c>
      <c r="L10" s="30">
        <v>37.090000000000003</v>
      </c>
      <c r="M10" s="30">
        <v>113915.44</v>
      </c>
      <c r="N10" s="30">
        <v>19.25</v>
      </c>
      <c r="O10" s="30">
        <v>113915.44</v>
      </c>
      <c r="P10" s="30">
        <v>19.25</v>
      </c>
      <c r="Q10" s="30">
        <v>113915.44</v>
      </c>
      <c r="R10" s="30">
        <v>0</v>
      </c>
      <c r="S10" s="30">
        <v>0</v>
      </c>
      <c r="T10" s="30">
        <v>0</v>
      </c>
      <c r="U10" s="30">
        <v>0</v>
      </c>
      <c r="V10" s="31">
        <f t="shared" si="1"/>
        <v>112.68</v>
      </c>
      <c r="W10" s="30" t="s">
        <v>9</v>
      </c>
      <c r="X10" s="3">
        <v>46234</v>
      </c>
    </row>
    <row r="11" spans="1:25" x14ac:dyDescent="0.25">
      <c r="A11" s="19">
        <v>54059</v>
      </c>
      <c r="B11" s="28" t="s">
        <v>44</v>
      </c>
      <c r="C11" s="19">
        <v>115971165</v>
      </c>
      <c r="D11" s="28" t="s">
        <v>9</v>
      </c>
      <c r="E11" s="33" t="s">
        <v>10</v>
      </c>
      <c r="F11" s="28" t="s">
        <v>38</v>
      </c>
      <c r="G11" s="28" t="s">
        <v>51</v>
      </c>
      <c r="H11" s="28" t="s">
        <v>37</v>
      </c>
      <c r="I11" s="29">
        <v>46235</v>
      </c>
      <c r="J11" s="30">
        <v>26.45</v>
      </c>
      <c r="K11" s="30">
        <v>137571.42000000001</v>
      </c>
      <c r="L11" s="30">
        <v>26.45</v>
      </c>
      <c r="M11" s="30">
        <v>137571.42000000001</v>
      </c>
      <c r="N11" s="30">
        <v>17.52</v>
      </c>
      <c r="O11" s="30">
        <v>137571.42000000001</v>
      </c>
      <c r="P11" s="30">
        <v>17.52</v>
      </c>
      <c r="Q11" s="30">
        <v>137571.42000000001</v>
      </c>
      <c r="R11" s="30">
        <v>35</v>
      </c>
      <c r="S11" s="30">
        <v>182009.17</v>
      </c>
      <c r="T11" s="30">
        <v>35</v>
      </c>
      <c r="U11" s="30">
        <v>274869.83</v>
      </c>
      <c r="V11" s="31">
        <f t="shared" si="1"/>
        <v>157.93999999999997</v>
      </c>
      <c r="W11" s="30" t="s">
        <v>9</v>
      </c>
      <c r="X11" s="3">
        <v>46234</v>
      </c>
    </row>
    <row r="12" spans="1:25" x14ac:dyDescent="0.25">
      <c r="A12" s="19">
        <v>54055</v>
      </c>
      <c r="B12" s="28" t="s">
        <v>44</v>
      </c>
      <c r="C12" s="19">
        <v>115971166</v>
      </c>
      <c r="D12" s="28" t="s">
        <v>9</v>
      </c>
      <c r="E12" s="33" t="s">
        <v>10</v>
      </c>
      <c r="F12" s="28" t="s">
        <v>39</v>
      </c>
      <c r="G12" s="28" t="s">
        <v>52</v>
      </c>
      <c r="H12" s="28" t="s">
        <v>37</v>
      </c>
      <c r="I12" s="29">
        <v>46235</v>
      </c>
      <c r="J12" s="30">
        <v>34.04</v>
      </c>
      <c r="K12" s="30">
        <v>177018.17</v>
      </c>
      <c r="L12" s="30">
        <v>34.04</v>
      </c>
      <c r="M12" s="30">
        <v>177018.17</v>
      </c>
      <c r="N12" s="30">
        <v>22.54</v>
      </c>
      <c r="O12" s="30">
        <v>177018.17</v>
      </c>
      <c r="P12" s="30">
        <v>22.54</v>
      </c>
      <c r="Q12" s="30">
        <v>177018.17</v>
      </c>
      <c r="R12" s="30">
        <v>50</v>
      </c>
      <c r="S12" s="30">
        <v>260013.1</v>
      </c>
      <c r="T12" s="30">
        <v>50</v>
      </c>
      <c r="U12" s="30">
        <v>392671.19</v>
      </c>
      <c r="V12" s="31">
        <f t="shared" si="1"/>
        <v>213.15999999999997</v>
      </c>
      <c r="W12" s="19" t="s">
        <v>9</v>
      </c>
      <c r="X12" s="3">
        <v>46234</v>
      </c>
    </row>
    <row r="13" spans="1:25" x14ac:dyDescent="0.25">
      <c r="A13" s="19">
        <v>64986</v>
      </c>
      <c r="B13" s="28" t="s">
        <v>8</v>
      </c>
      <c r="C13" s="19">
        <v>115937643</v>
      </c>
      <c r="D13" s="28" t="s">
        <v>9</v>
      </c>
      <c r="E13" s="33" t="s">
        <v>10</v>
      </c>
      <c r="F13" s="28" t="s">
        <v>40</v>
      </c>
      <c r="G13" s="28" t="s">
        <v>53</v>
      </c>
      <c r="H13" s="28" t="s">
        <v>16</v>
      </c>
      <c r="I13" s="29">
        <v>46235</v>
      </c>
      <c r="J13" s="30">
        <v>157.27000000000001</v>
      </c>
      <c r="K13" s="30">
        <v>817869.15</v>
      </c>
      <c r="L13" s="30">
        <v>157.27000000000001</v>
      </c>
      <c r="M13" s="30">
        <v>817869.15</v>
      </c>
      <c r="N13" s="30">
        <v>104.14</v>
      </c>
      <c r="O13" s="30">
        <v>817869.15</v>
      </c>
      <c r="P13" s="30">
        <v>104.14</v>
      </c>
      <c r="Q13" s="30">
        <v>817869.15</v>
      </c>
      <c r="R13" s="30">
        <v>600</v>
      </c>
      <c r="S13" s="30">
        <v>3120157.26</v>
      </c>
      <c r="T13" s="30">
        <v>550</v>
      </c>
      <c r="U13" s="30">
        <v>4319383.04</v>
      </c>
      <c r="V13" s="31">
        <f t="shared" si="1"/>
        <v>1672.8200000000002</v>
      </c>
      <c r="W13" s="19" t="s">
        <v>9</v>
      </c>
      <c r="X13" s="3">
        <v>46234</v>
      </c>
    </row>
    <row r="14" spans="1:25" x14ac:dyDescent="0.25">
      <c r="A14" s="6">
        <v>54934</v>
      </c>
      <c r="B14" s="9" t="s">
        <v>44</v>
      </c>
      <c r="C14" s="6">
        <v>115971168</v>
      </c>
      <c r="D14" s="9" t="s">
        <v>9</v>
      </c>
      <c r="E14" s="34" t="s">
        <v>10</v>
      </c>
      <c r="F14" s="9" t="s">
        <v>41</v>
      </c>
      <c r="G14" s="9" t="s">
        <v>54</v>
      </c>
      <c r="H14" s="9" t="s">
        <v>37</v>
      </c>
      <c r="I14" s="15">
        <v>46266</v>
      </c>
      <c r="J14" s="5">
        <v>34.44</v>
      </c>
      <c r="K14" s="5">
        <v>179076.5</v>
      </c>
      <c r="L14" s="5">
        <v>34.44</v>
      </c>
      <c r="M14" s="5">
        <v>179076.5</v>
      </c>
      <c r="N14" s="5">
        <v>22.8</v>
      </c>
      <c r="O14" s="5">
        <v>179076.5</v>
      </c>
      <c r="P14" s="5">
        <v>22.8</v>
      </c>
      <c r="Q14" s="5">
        <v>179076.5</v>
      </c>
      <c r="R14" s="5">
        <v>0</v>
      </c>
      <c r="S14" s="5">
        <v>0</v>
      </c>
      <c r="T14" s="5">
        <v>0</v>
      </c>
      <c r="U14" s="5">
        <v>0</v>
      </c>
      <c r="V14" s="14">
        <f t="shared" si="1"/>
        <v>114.47999999999999</v>
      </c>
      <c r="W14" s="5" t="s">
        <v>9</v>
      </c>
      <c r="X14" s="3">
        <v>46234</v>
      </c>
    </row>
    <row r="15" spans="1:25" x14ac:dyDescent="0.25">
      <c r="A15" s="6">
        <v>54004</v>
      </c>
      <c r="B15" s="9" t="s">
        <v>45</v>
      </c>
      <c r="C15" s="6">
        <v>115937644</v>
      </c>
      <c r="D15" s="9" t="s">
        <v>9</v>
      </c>
      <c r="E15" s="34" t="s">
        <v>10</v>
      </c>
      <c r="F15" s="9" t="s">
        <v>42</v>
      </c>
      <c r="G15" s="9" t="s">
        <v>55</v>
      </c>
      <c r="H15" s="9" t="s">
        <v>16</v>
      </c>
      <c r="I15" s="15">
        <v>46266</v>
      </c>
      <c r="J15" s="5">
        <v>109.49</v>
      </c>
      <c r="K15" s="5">
        <v>87007.01</v>
      </c>
      <c r="L15" s="5">
        <v>109.49</v>
      </c>
      <c r="M15" s="5">
        <v>87007.01</v>
      </c>
      <c r="N15" s="5">
        <v>63.08</v>
      </c>
      <c r="O15" s="5">
        <v>87007.01</v>
      </c>
      <c r="P15" s="5">
        <v>63.08</v>
      </c>
      <c r="Q15" s="5">
        <v>87007.01</v>
      </c>
      <c r="R15" s="5">
        <v>0</v>
      </c>
      <c r="S15" s="5">
        <v>0</v>
      </c>
      <c r="T15" s="5">
        <v>500</v>
      </c>
      <c r="U15" s="5">
        <v>689655.17</v>
      </c>
      <c r="V15" s="14">
        <f t="shared" si="1"/>
        <v>845.1400000000001</v>
      </c>
      <c r="W15" s="5" t="s">
        <v>9</v>
      </c>
      <c r="X15" s="3">
        <v>46234</v>
      </c>
    </row>
    <row r="16" spans="1:25" x14ac:dyDescent="0.25">
      <c r="A16" s="6">
        <v>54093</v>
      </c>
      <c r="B16" s="9" t="s">
        <v>44</v>
      </c>
      <c r="C16" s="6">
        <v>115937642</v>
      </c>
      <c r="D16" s="9" t="s">
        <v>9</v>
      </c>
      <c r="E16" s="34" t="s">
        <v>10</v>
      </c>
      <c r="F16" s="9" t="s">
        <v>58</v>
      </c>
      <c r="G16" s="9" t="s">
        <v>59</v>
      </c>
      <c r="H16" s="9"/>
      <c r="I16" s="15">
        <v>46266</v>
      </c>
      <c r="J16" s="6">
        <v>45.88</v>
      </c>
      <c r="K16" s="5">
        <v>140936.54999999999</v>
      </c>
      <c r="L16" s="6">
        <v>45.88</v>
      </c>
      <c r="M16" s="5">
        <v>140936.54999999999</v>
      </c>
      <c r="N16" s="6">
        <v>23.82</v>
      </c>
      <c r="O16" s="5">
        <v>140936.54999999999</v>
      </c>
      <c r="P16" s="6">
        <v>23.82</v>
      </c>
      <c r="Q16" s="5">
        <v>140936.54999999999</v>
      </c>
      <c r="R16" s="5">
        <v>150</v>
      </c>
      <c r="S16" s="5">
        <v>460744.56</v>
      </c>
      <c r="T16" s="5">
        <v>150</v>
      </c>
      <c r="U16" s="5">
        <v>887573.96</v>
      </c>
      <c r="V16" s="14">
        <f t="shared" ref="V16:V22" si="2">SUM(T16,R16,P16,N16,L16,J16)</f>
        <v>439.4</v>
      </c>
      <c r="W16" s="16"/>
      <c r="X16" s="17">
        <v>46241</v>
      </c>
    </row>
    <row r="17" spans="1:25" x14ac:dyDescent="0.25">
      <c r="A17" s="6">
        <v>54182</v>
      </c>
      <c r="B17" s="9" t="s">
        <v>45</v>
      </c>
      <c r="C17" s="6">
        <v>115971167</v>
      </c>
      <c r="D17" s="9" t="s">
        <v>9</v>
      </c>
      <c r="E17" s="34" t="s">
        <v>10</v>
      </c>
      <c r="F17" s="9" t="s">
        <v>60</v>
      </c>
      <c r="G17" s="9" t="s">
        <v>61</v>
      </c>
      <c r="H17" s="9" t="s">
        <v>37</v>
      </c>
      <c r="I17" s="15">
        <v>46266</v>
      </c>
      <c r="J17" s="6">
        <v>41.59</v>
      </c>
      <c r="K17" s="5">
        <v>317460.47999999998</v>
      </c>
      <c r="L17" s="6">
        <v>41.59</v>
      </c>
      <c r="M17" s="5">
        <v>317460.47999999998</v>
      </c>
      <c r="N17" s="6">
        <v>32.01</v>
      </c>
      <c r="O17" s="5">
        <v>317460.47999999998</v>
      </c>
      <c r="P17" s="6">
        <v>32.01</v>
      </c>
      <c r="Q17" s="5">
        <v>317460.47999999998</v>
      </c>
      <c r="R17" s="18">
        <v>0</v>
      </c>
      <c r="S17" s="18">
        <v>0</v>
      </c>
      <c r="T17" s="18">
        <v>0</v>
      </c>
      <c r="U17" s="18">
        <v>0</v>
      </c>
      <c r="V17" s="14">
        <f t="shared" si="2"/>
        <v>147.19999999999999</v>
      </c>
      <c r="W17" s="16"/>
      <c r="X17" s="17">
        <v>46241</v>
      </c>
    </row>
    <row r="18" spans="1:25" x14ac:dyDescent="0.25">
      <c r="A18" s="6">
        <v>54336</v>
      </c>
      <c r="B18" s="9" t="s">
        <v>44</v>
      </c>
      <c r="C18" s="6">
        <v>115937640</v>
      </c>
      <c r="D18" s="9" t="s">
        <v>9</v>
      </c>
      <c r="E18" s="34" t="s">
        <v>10</v>
      </c>
      <c r="F18" s="9" t="s">
        <v>56</v>
      </c>
      <c r="G18" s="9" t="s">
        <v>57</v>
      </c>
      <c r="H18" s="9"/>
      <c r="I18" s="15">
        <v>46266</v>
      </c>
      <c r="J18" s="6">
        <v>17.39</v>
      </c>
      <c r="K18" s="5">
        <v>30140.31</v>
      </c>
      <c r="L18" s="6">
        <v>17.39</v>
      </c>
      <c r="M18" s="5">
        <v>30140.31</v>
      </c>
      <c r="N18" s="6">
        <v>7.59</v>
      </c>
      <c r="O18" s="5">
        <v>30140.31</v>
      </c>
      <c r="P18" s="6">
        <v>7.59</v>
      </c>
      <c r="Q18" s="5">
        <v>30140.31</v>
      </c>
      <c r="R18" s="5">
        <v>0</v>
      </c>
      <c r="S18" s="5">
        <v>0</v>
      </c>
      <c r="T18" s="5">
        <v>0</v>
      </c>
      <c r="U18" s="5">
        <v>0</v>
      </c>
      <c r="V18" s="14">
        <f t="shared" si="2"/>
        <v>49.96</v>
      </c>
      <c r="W18" s="16"/>
      <c r="X18" s="17">
        <v>46241</v>
      </c>
    </row>
    <row r="19" spans="1:25" x14ac:dyDescent="0.25">
      <c r="A19" s="6">
        <v>55060</v>
      </c>
      <c r="B19" s="9" t="s">
        <v>45</v>
      </c>
      <c r="C19" s="6">
        <v>115937646</v>
      </c>
      <c r="D19" s="9" t="s">
        <v>9</v>
      </c>
      <c r="E19" s="34" t="s">
        <v>10</v>
      </c>
      <c r="F19" s="9" t="s">
        <v>64</v>
      </c>
      <c r="G19" s="9" t="s">
        <v>65</v>
      </c>
      <c r="H19" s="9" t="s">
        <v>16</v>
      </c>
      <c r="I19" s="15">
        <v>46266</v>
      </c>
      <c r="J19" s="6">
        <v>35.58</v>
      </c>
      <c r="K19" s="5">
        <v>185009.76</v>
      </c>
      <c r="L19" s="6">
        <v>35.58</v>
      </c>
      <c r="M19" s="5">
        <v>185009.76</v>
      </c>
      <c r="N19" s="6">
        <v>23.56</v>
      </c>
      <c r="O19" s="5">
        <v>185009.76</v>
      </c>
      <c r="P19" s="6">
        <v>23.56</v>
      </c>
      <c r="Q19" s="5">
        <v>185009.76</v>
      </c>
      <c r="R19" s="5">
        <v>0</v>
      </c>
      <c r="S19" s="5">
        <v>0</v>
      </c>
      <c r="T19" s="5">
        <v>0</v>
      </c>
      <c r="U19" s="5">
        <v>0</v>
      </c>
      <c r="V19" s="14">
        <f t="shared" si="2"/>
        <v>118.27999999999999</v>
      </c>
      <c r="W19" s="16"/>
      <c r="X19" s="17">
        <v>46241</v>
      </c>
    </row>
    <row r="20" spans="1:25" x14ac:dyDescent="0.25">
      <c r="A20" s="6">
        <v>54495</v>
      </c>
      <c r="B20" s="9" t="s">
        <v>45</v>
      </c>
      <c r="C20" s="6">
        <v>115937647</v>
      </c>
      <c r="D20" s="9" t="s">
        <v>9</v>
      </c>
      <c r="E20" s="34" t="s">
        <v>10</v>
      </c>
      <c r="F20" s="9" t="s">
        <v>66</v>
      </c>
      <c r="G20" s="9" t="s">
        <v>67</v>
      </c>
      <c r="H20" s="9" t="s">
        <v>16</v>
      </c>
      <c r="I20" s="15">
        <v>46266</v>
      </c>
      <c r="J20" s="6">
        <v>37.72</v>
      </c>
      <c r="K20" s="5">
        <v>196140.34</v>
      </c>
      <c r="L20" s="6">
        <v>37.72</v>
      </c>
      <c r="M20" s="5">
        <v>196140.34</v>
      </c>
      <c r="N20" s="6">
        <v>24.98</v>
      </c>
      <c r="O20" s="5">
        <v>196140.34</v>
      </c>
      <c r="P20" s="6">
        <v>24.98</v>
      </c>
      <c r="Q20" s="5">
        <v>196140.34</v>
      </c>
      <c r="R20" s="5">
        <v>0</v>
      </c>
      <c r="S20" s="5">
        <v>0</v>
      </c>
      <c r="T20" s="5">
        <v>0</v>
      </c>
      <c r="U20" s="5">
        <v>0</v>
      </c>
      <c r="V20" s="14">
        <f t="shared" si="2"/>
        <v>125.4</v>
      </c>
      <c r="W20" s="16"/>
      <c r="X20" s="17">
        <v>46241</v>
      </c>
    </row>
    <row r="21" spans="1:25" x14ac:dyDescent="0.25">
      <c r="A21" s="6">
        <v>54595</v>
      </c>
      <c r="B21" s="9" t="s">
        <v>8</v>
      </c>
      <c r="C21" s="6">
        <v>115937648</v>
      </c>
      <c r="D21" s="9" t="s">
        <v>9</v>
      </c>
      <c r="E21" s="34" t="s">
        <v>10</v>
      </c>
      <c r="F21" s="9" t="s">
        <v>62</v>
      </c>
      <c r="G21" s="9" t="s">
        <v>63</v>
      </c>
      <c r="H21" s="9"/>
      <c r="I21" s="15">
        <v>46266</v>
      </c>
      <c r="J21" s="6">
        <v>37.46</v>
      </c>
      <c r="K21" s="5">
        <v>194777.54</v>
      </c>
      <c r="L21" s="6">
        <v>37.46</v>
      </c>
      <c r="M21" s="5">
        <v>194777.54</v>
      </c>
      <c r="N21" s="6">
        <v>24.8</v>
      </c>
      <c r="O21" s="5">
        <v>194777.54</v>
      </c>
      <c r="P21" s="6">
        <v>24.8</v>
      </c>
      <c r="Q21" s="5">
        <v>194777.54</v>
      </c>
      <c r="R21" s="5">
        <v>0</v>
      </c>
      <c r="S21" s="5">
        <v>0</v>
      </c>
      <c r="T21" s="5">
        <v>200</v>
      </c>
      <c r="U21" s="5">
        <v>1570684.74</v>
      </c>
      <c r="V21" s="14">
        <f t="shared" si="2"/>
        <v>324.52</v>
      </c>
      <c r="W21" s="16"/>
      <c r="X21" s="17">
        <v>46241</v>
      </c>
    </row>
    <row r="22" spans="1:25" x14ac:dyDescent="0.25">
      <c r="A22" s="6">
        <v>54790</v>
      </c>
      <c r="B22" s="9" t="s">
        <v>45</v>
      </c>
      <c r="C22" s="6">
        <v>115971169</v>
      </c>
      <c r="D22" s="9" t="s">
        <v>9</v>
      </c>
      <c r="E22" s="34" t="s">
        <v>10</v>
      </c>
      <c r="F22" s="9" t="s">
        <v>68</v>
      </c>
      <c r="G22" s="9" t="s">
        <v>69</v>
      </c>
      <c r="H22" s="9" t="s">
        <v>37</v>
      </c>
      <c r="I22" s="15">
        <v>46266</v>
      </c>
      <c r="J22" s="6">
        <v>28.71</v>
      </c>
      <c r="K22" s="5">
        <v>219148</v>
      </c>
      <c r="L22" s="6">
        <v>28.71</v>
      </c>
      <c r="M22" s="5">
        <v>219148</v>
      </c>
      <c r="N22" s="5">
        <v>22.1</v>
      </c>
      <c r="O22" s="5">
        <v>219148</v>
      </c>
      <c r="P22" s="5">
        <v>22.1</v>
      </c>
      <c r="Q22" s="5">
        <v>219148</v>
      </c>
      <c r="R22" s="5">
        <v>0</v>
      </c>
      <c r="S22" s="5">
        <v>0</v>
      </c>
      <c r="T22" s="5">
        <v>0</v>
      </c>
      <c r="U22" s="18">
        <v>0</v>
      </c>
      <c r="V22" s="14">
        <f t="shared" si="2"/>
        <v>101.62</v>
      </c>
      <c r="W22" s="16"/>
      <c r="X22" s="17">
        <v>46241</v>
      </c>
    </row>
    <row r="23" spans="1:25" x14ac:dyDescent="0.25">
      <c r="A23" s="6">
        <v>54080</v>
      </c>
      <c r="B23" s="9" t="s">
        <v>8</v>
      </c>
      <c r="C23" s="6">
        <v>115971172</v>
      </c>
      <c r="D23" s="9" t="s">
        <v>9</v>
      </c>
      <c r="E23" s="34" t="s">
        <v>10</v>
      </c>
      <c r="F23" s="9" t="s">
        <v>77</v>
      </c>
      <c r="G23" s="9" t="s">
        <v>71</v>
      </c>
      <c r="H23" s="9" t="s">
        <v>37</v>
      </c>
      <c r="I23" s="15">
        <v>46266</v>
      </c>
      <c r="J23" s="6">
        <v>5.28</v>
      </c>
      <c r="K23" s="5">
        <v>40302.730000000003</v>
      </c>
      <c r="L23" s="6">
        <v>5.28</v>
      </c>
      <c r="M23" s="5">
        <v>40302.730000000003</v>
      </c>
      <c r="N23" s="5">
        <v>4.0599999999999996</v>
      </c>
      <c r="O23" s="5">
        <v>40302.730000000003</v>
      </c>
      <c r="P23" s="5">
        <v>4.0599999999999996</v>
      </c>
      <c r="Q23" s="5">
        <v>40302.730000000003</v>
      </c>
      <c r="R23" s="5">
        <v>0</v>
      </c>
      <c r="S23" s="5">
        <v>0</v>
      </c>
      <c r="T23" s="5">
        <v>0</v>
      </c>
      <c r="U23" s="5">
        <v>0</v>
      </c>
      <c r="V23" s="14">
        <f t="shared" ref="V23:V25" si="3">SUM(T23,R23,P23,N23,L23,J23)</f>
        <v>18.68</v>
      </c>
      <c r="W23" s="16"/>
      <c r="X23" s="17">
        <v>46251</v>
      </c>
    </row>
    <row r="24" spans="1:25" x14ac:dyDescent="0.25">
      <c r="A24" s="6">
        <v>53947</v>
      </c>
      <c r="B24" s="9" t="s">
        <v>45</v>
      </c>
      <c r="C24" s="6">
        <v>115935531</v>
      </c>
      <c r="D24" s="9" t="s">
        <v>9</v>
      </c>
      <c r="E24" s="34" t="s">
        <v>10</v>
      </c>
      <c r="F24" s="9" t="s">
        <v>72</v>
      </c>
      <c r="G24" s="9" t="s">
        <v>73</v>
      </c>
      <c r="H24" s="9" t="s">
        <v>74</v>
      </c>
      <c r="I24" s="15">
        <v>46266</v>
      </c>
      <c r="J24" s="6">
        <v>30.14</v>
      </c>
      <c r="K24" s="5">
        <v>230076.64</v>
      </c>
      <c r="L24" s="6">
        <v>30.14</v>
      </c>
      <c r="M24" s="5">
        <v>230076.64</v>
      </c>
      <c r="N24" s="5">
        <v>23.2</v>
      </c>
      <c r="O24" s="5">
        <v>230076.64</v>
      </c>
      <c r="P24" s="5">
        <v>23.2</v>
      </c>
      <c r="Q24" s="5">
        <v>230076.64</v>
      </c>
      <c r="R24" s="5">
        <v>39.53</v>
      </c>
      <c r="S24" s="5">
        <v>301714.27</v>
      </c>
      <c r="T24" s="5">
        <v>30.47</v>
      </c>
      <c r="U24" s="5">
        <v>302182.82</v>
      </c>
      <c r="V24" s="14">
        <f t="shared" si="3"/>
        <v>176.68</v>
      </c>
      <c r="W24" s="16"/>
      <c r="X24" s="17">
        <v>46251</v>
      </c>
    </row>
    <row r="25" spans="1:25" x14ac:dyDescent="0.25">
      <c r="A25" s="6">
        <v>55059</v>
      </c>
      <c r="B25" s="9" t="s">
        <v>45</v>
      </c>
      <c r="C25" s="6">
        <v>115937650</v>
      </c>
      <c r="D25" s="9" t="s">
        <v>9</v>
      </c>
      <c r="E25" s="34" t="s">
        <v>10</v>
      </c>
      <c r="F25" s="9" t="s">
        <v>75</v>
      </c>
      <c r="G25" s="9" t="s">
        <v>76</v>
      </c>
      <c r="H25" s="9" t="s">
        <v>16</v>
      </c>
      <c r="I25" s="15">
        <v>46266</v>
      </c>
      <c r="J25" s="6">
        <v>28.45</v>
      </c>
      <c r="K25" s="5">
        <v>147922.71</v>
      </c>
      <c r="L25" s="6">
        <v>28.45</v>
      </c>
      <c r="M25" s="5">
        <v>147922.71</v>
      </c>
      <c r="N25" s="5">
        <v>18.84</v>
      </c>
      <c r="O25" s="5">
        <v>147922.71</v>
      </c>
      <c r="P25" s="5">
        <v>18.84</v>
      </c>
      <c r="Q25" s="5">
        <v>147922.71</v>
      </c>
      <c r="R25" s="5">
        <v>0</v>
      </c>
      <c r="S25" s="5">
        <v>0</v>
      </c>
      <c r="T25" s="5">
        <v>0</v>
      </c>
      <c r="U25" s="18">
        <v>0</v>
      </c>
      <c r="V25" s="14">
        <f t="shared" si="3"/>
        <v>94.58</v>
      </c>
      <c r="W25" s="16"/>
      <c r="X25" s="17">
        <v>46251</v>
      </c>
    </row>
    <row r="26" spans="1:25" x14ac:dyDescent="0.25">
      <c r="A26" s="6">
        <v>54155</v>
      </c>
      <c r="B26" s="9" t="s">
        <v>45</v>
      </c>
      <c r="C26" s="6">
        <v>115937649</v>
      </c>
      <c r="D26" s="9" t="s">
        <v>9</v>
      </c>
      <c r="E26" s="34" t="s">
        <v>10</v>
      </c>
      <c r="F26" s="9" t="s">
        <v>78</v>
      </c>
      <c r="G26" s="9" t="s">
        <v>79</v>
      </c>
      <c r="H26" s="9" t="s">
        <v>16</v>
      </c>
      <c r="I26" s="15">
        <v>46266</v>
      </c>
      <c r="J26" s="6">
        <v>34.68</v>
      </c>
      <c r="K26" s="5">
        <v>180320.45</v>
      </c>
      <c r="L26" s="6">
        <v>34.68</v>
      </c>
      <c r="M26" s="5">
        <v>180320.45</v>
      </c>
      <c r="N26" s="5">
        <v>22.96</v>
      </c>
      <c r="O26" s="5">
        <v>180320.45</v>
      </c>
      <c r="P26" s="5">
        <v>22.96</v>
      </c>
      <c r="Q26" s="5">
        <v>180320.45</v>
      </c>
      <c r="R26" s="5">
        <v>0</v>
      </c>
      <c r="S26" s="5">
        <v>0</v>
      </c>
      <c r="T26" s="5">
        <v>0</v>
      </c>
      <c r="U26" s="5">
        <v>0</v>
      </c>
      <c r="V26" s="14">
        <f t="shared" ref="V26:V28" si="4">SUM(T26,R26,P26,N26,L26,J26)</f>
        <v>115.28</v>
      </c>
      <c r="W26" s="16"/>
      <c r="X26" s="17">
        <v>46255</v>
      </c>
    </row>
    <row r="27" spans="1:25" x14ac:dyDescent="0.25">
      <c r="A27" s="6">
        <v>54778</v>
      </c>
      <c r="B27" s="9" t="s">
        <v>45</v>
      </c>
      <c r="C27" s="6">
        <v>115937655</v>
      </c>
      <c r="D27" s="9" t="s">
        <v>9</v>
      </c>
      <c r="E27" s="34" t="s">
        <v>10</v>
      </c>
      <c r="F27" s="9" t="s">
        <v>80</v>
      </c>
      <c r="G27" s="9" t="s">
        <v>81</v>
      </c>
      <c r="H27" s="9" t="s">
        <v>16</v>
      </c>
      <c r="I27" s="15">
        <v>46266</v>
      </c>
      <c r="J27" s="5">
        <v>18.5</v>
      </c>
      <c r="K27" s="5">
        <v>32055.18</v>
      </c>
      <c r="L27" s="5">
        <v>18.5</v>
      </c>
      <c r="M27" s="5">
        <v>32055.18</v>
      </c>
      <c r="N27" s="5">
        <v>8.07</v>
      </c>
      <c r="O27" s="5">
        <v>32055.18</v>
      </c>
      <c r="P27" s="5">
        <v>8.07</v>
      </c>
      <c r="Q27" s="5">
        <v>32055.18</v>
      </c>
      <c r="R27" s="5">
        <v>200</v>
      </c>
      <c r="S27" s="5">
        <v>346581.41</v>
      </c>
      <c r="T27" s="5">
        <v>200</v>
      </c>
      <c r="U27" s="5">
        <v>794177.09</v>
      </c>
      <c r="V27" s="14">
        <f t="shared" si="4"/>
        <v>453.14</v>
      </c>
      <c r="W27" s="16"/>
      <c r="X27" s="17">
        <v>46255</v>
      </c>
    </row>
    <row r="28" spans="1:25" x14ac:dyDescent="0.25">
      <c r="A28" s="6">
        <v>54479</v>
      </c>
      <c r="B28" s="9" t="s">
        <v>45</v>
      </c>
      <c r="C28" s="6">
        <v>115971173</v>
      </c>
      <c r="D28" s="9" t="s">
        <v>9</v>
      </c>
      <c r="E28" s="34" t="s">
        <v>10</v>
      </c>
      <c r="F28" s="9" t="s">
        <v>82</v>
      </c>
      <c r="G28" s="9" t="s">
        <v>83</v>
      </c>
      <c r="H28" s="9" t="s">
        <v>37</v>
      </c>
      <c r="I28" s="15">
        <v>46266</v>
      </c>
      <c r="J28" s="6">
        <v>39.549999999999997</v>
      </c>
      <c r="K28" s="5">
        <v>301875.40999999997</v>
      </c>
      <c r="L28" s="6">
        <v>39.549999999999997</v>
      </c>
      <c r="M28" s="5">
        <v>301875.40999999997</v>
      </c>
      <c r="N28" s="5">
        <v>30.44</v>
      </c>
      <c r="O28" s="5">
        <v>301875.40999999997</v>
      </c>
      <c r="P28" s="5">
        <v>30.44</v>
      </c>
      <c r="Q28" s="5">
        <v>301875.40999999997</v>
      </c>
      <c r="R28" s="5">
        <v>0</v>
      </c>
      <c r="S28" s="5">
        <v>0</v>
      </c>
      <c r="T28" s="5">
        <v>0</v>
      </c>
      <c r="U28" s="18">
        <v>0</v>
      </c>
      <c r="V28" s="14">
        <f t="shared" si="4"/>
        <v>139.98000000000002</v>
      </c>
      <c r="W28" s="16"/>
      <c r="X28" s="17">
        <v>46255</v>
      </c>
    </row>
    <row r="29" spans="1:25" x14ac:dyDescent="0.25">
      <c r="A29" s="6">
        <v>54234</v>
      </c>
      <c r="B29" s="9" t="s">
        <v>45</v>
      </c>
      <c r="C29" s="6">
        <v>115937652</v>
      </c>
      <c r="D29" s="9" t="s">
        <v>9</v>
      </c>
      <c r="E29" s="34" t="s">
        <v>10</v>
      </c>
      <c r="F29" s="9" t="s">
        <v>84</v>
      </c>
      <c r="G29" s="9" t="s">
        <v>85</v>
      </c>
      <c r="H29" s="9" t="s">
        <v>16</v>
      </c>
      <c r="I29" s="15">
        <v>46266</v>
      </c>
      <c r="J29" s="6">
        <v>4.21</v>
      </c>
      <c r="K29" s="5">
        <v>12926.83</v>
      </c>
      <c r="L29" s="6">
        <v>4.21</v>
      </c>
      <c r="M29" s="5">
        <v>12926.83</v>
      </c>
      <c r="N29" s="6">
        <v>2.1800000000000002</v>
      </c>
      <c r="O29" s="5">
        <v>12926.83</v>
      </c>
      <c r="P29" s="6">
        <v>2.1800000000000002</v>
      </c>
      <c r="Q29" s="5">
        <v>12926.83</v>
      </c>
      <c r="R29" s="5">
        <v>50</v>
      </c>
      <c r="S29" s="5">
        <v>153581.51999999999</v>
      </c>
      <c r="T29" s="5">
        <v>50</v>
      </c>
      <c r="U29" s="5">
        <v>295857.99</v>
      </c>
      <c r="V29" s="14">
        <f t="shared" ref="V29:V34" si="5">SUM(T29,R29,P29,N29,L29,J29)</f>
        <v>112.78</v>
      </c>
      <c r="W29" s="16"/>
      <c r="X29" s="17">
        <v>46259</v>
      </c>
      <c r="Y29" s="32" t="s">
        <v>96</v>
      </c>
    </row>
    <row r="30" spans="1:25" x14ac:dyDescent="0.25">
      <c r="A30" s="6">
        <v>54593</v>
      </c>
      <c r="B30" s="9" t="s">
        <v>45</v>
      </c>
      <c r="C30" s="6">
        <v>115937653</v>
      </c>
      <c r="D30" s="9" t="s">
        <v>9</v>
      </c>
      <c r="E30" s="34" t="s">
        <v>10</v>
      </c>
      <c r="F30" s="9" t="s">
        <v>86</v>
      </c>
      <c r="G30" s="9" t="s">
        <v>87</v>
      </c>
      <c r="H30" s="9" t="s">
        <v>16</v>
      </c>
      <c r="I30" s="15">
        <v>46266</v>
      </c>
      <c r="J30" s="6">
        <v>1.77</v>
      </c>
      <c r="K30" s="5">
        <v>9211.23</v>
      </c>
      <c r="L30" s="6">
        <v>1.77</v>
      </c>
      <c r="M30" s="5">
        <v>9211.23</v>
      </c>
      <c r="N30" s="5">
        <v>1.17</v>
      </c>
      <c r="O30" s="5">
        <v>9211.23</v>
      </c>
      <c r="P30" s="5">
        <v>1.17</v>
      </c>
      <c r="Q30" s="5">
        <v>9211.23</v>
      </c>
      <c r="R30" s="5">
        <v>50</v>
      </c>
      <c r="S30" s="5">
        <v>260013.1</v>
      </c>
      <c r="T30" s="5">
        <v>50</v>
      </c>
      <c r="U30" s="5">
        <v>392671.19</v>
      </c>
      <c r="V30" s="14">
        <f t="shared" si="5"/>
        <v>105.88</v>
      </c>
      <c r="W30" s="16"/>
      <c r="X30" s="17">
        <v>46259</v>
      </c>
    </row>
    <row r="31" spans="1:25" x14ac:dyDescent="0.25">
      <c r="A31" s="6">
        <v>54623</v>
      </c>
      <c r="B31" s="9" t="s">
        <v>45</v>
      </c>
      <c r="C31" s="6">
        <v>115937654</v>
      </c>
      <c r="D31" s="9" t="s">
        <v>9</v>
      </c>
      <c r="E31" s="34" t="s">
        <v>10</v>
      </c>
      <c r="F31" s="9" t="s">
        <v>88</v>
      </c>
      <c r="G31" s="9" t="s">
        <v>89</v>
      </c>
      <c r="H31" s="9" t="s">
        <v>16</v>
      </c>
      <c r="I31" s="15">
        <v>46266</v>
      </c>
      <c r="J31" s="6">
        <v>54.48</v>
      </c>
      <c r="K31" s="5">
        <v>167335.25</v>
      </c>
      <c r="L31" s="6">
        <v>54.48</v>
      </c>
      <c r="M31" s="5">
        <v>167335.25</v>
      </c>
      <c r="N31" s="5">
        <v>28.28</v>
      </c>
      <c r="O31" s="5">
        <v>167335.25</v>
      </c>
      <c r="P31" s="5">
        <v>28.28</v>
      </c>
      <c r="Q31" s="5">
        <v>167335.25</v>
      </c>
      <c r="R31" s="5">
        <v>0</v>
      </c>
      <c r="S31" s="5">
        <v>0</v>
      </c>
      <c r="T31" s="5">
        <v>0</v>
      </c>
      <c r="U31" s="18">
        <v>0</v>
      </c>
      <c r="V31" s="14">
        <f t="shared" si="5"/>
        <v>165.51999999999998</v>
      </c>
      <c r="W31" s="16"/>
      <c r="X31" s="17">
        <v>46259</v>
      </c>
    </row>
    <row r="32" spans="1:25" x14ac:dyDescent="0.25">
      <c r="A32" s="6">
        <v>54958</v>
      </c>
      <c r="B32" s="9" t="s">
        <v>45</v>
      </c>
      <c r="C32" s="6">
        <v>115971174</v>
      </c>
      <c r="D32" s="9" t="s">
        <v>9</v>
      </c>
      <c r="E32" s="34" t="s">
        <v>10</v>
      </c>
      <c r="F32" s="9" t="s">
        <v>90</v>
      </c>
      <c r="G32" s="9" t="s">
        <v>91</v>
      </c>
      <c r="H32" s="9" t="s">
        <v>37</v>
      </c>
      <c r="I32" s="15">
        <v>46266</v>
      </c>
      <c r="J32" s="5">
        <v>71.099999999999994</v>
      </c>
      <c r="K32" s="5">
        <v>542655.27</v>
      </c>
      <c r="L32" s="5">
        <v>71.099999999999994</v>
      </c>
      <c r="M32" s="5">
        <v>542655.27</v>
      </c>
      <c r="N32" s="5">
        <v>54.72</v>
      </c>
      <c r="O32" s="5">
        <v>542655.27</v>
      </c>
      <c r="P32" s="5">
        <v>54.72</v>
      </c>
      <c r="Q32" s="5">
        <v>542655.27</v>
      </c>
      <c r="R32" s="5">
        <v>0</v>
      </c>
      <c r="S32" s="5">
        <v>0</v>
      </c>
      <c r="T32" s="5">
        <v>0</v>
      </c>
      <c r="U32" s="5">
        <v>0</v>
      </c>
      <c r="V32" s="14">
        <f t="shared" si="5"/>
        <v>251.64</v>
      </c>
      <c r="W32" s="16"/>
      <c r="X32" s="17">
        <v>46259</v>
      </c>
    </row>
    <row r="33" spans="1:25" x14ac:dyDescent="0.25">
      <c r="A33" s="6">
        <v>54746</v>
      </c>
      <c r="B33" s="9" t="s">
        <v>45</v>
      </c>
      <c r="C33" s="6">
        <v>115971176</v>
      </c>
      <c r="D33" s="9" t="s">
        <v>9</v>
      </c>
      <c r="E33" s="34" t="s">
        <v>10</v>
      </c>
      <c r="F33" s="9" t="s">
        <v>95</v>
      </c>
      <c r="G33" s="9" t="s">
        <v>92</v>
      </c>
      <c r="H33" s="9" t="s">
        <v>37</v>
      </c>
      <c r="I33" s="15">
        <v>46266</v>
      </c>
      <c r="J33" s="5">
        <v>79.08</v>
      </c>
      <c r="K33" s="5">
        <v>242905.05</v>
      </c>
      <c r="L33" s="5">
        <v>79.08</v>
      </c>
      <c r="M33" s="5">
        <v>242905.05</v>
      </c>
      <c r="N33" s="5">
        <v>41.05</v>
      </c>
      <c r="O33" s="5">
        <v>242905.05</v>
      </c>
      <c r="P33" s="5">
        <v>41.05</v>
      </c>
      <c r="Q33" s="5">
        <v>242905.05</v>
      </c>
      <c r="R33" s="5">
        <v>0</v>
      </c>
      <c r="S33" s="5">
        <v>0</v>
      </c>
      <c r="T33" s="5">
        <v>0</v>
      </c>
      <c r="U33" s="5">
        <v>0</v>
      </c>
      <c r="V33" s="14">
        <f t="shared" si="5"/>
        <v>240.26</v>
      </c>
      <c r="W33" s="16"/>
      <c r="X33" s="17">
        <v>46259</v>
      </c>
    </row>
    <row r="34" spans="1:25" x14ac:dyDescent="0.25">
      <c r="A34" s="6">
        <v>54647</v>
      </c>
      <c r="B34" s="9" t="s">
        <v>45</v>
      </c>
      <c r="C34" s="6">
        <v>115937656</v>
      </c>
      <c r="D34" s="9" t="s">
        <v>9</v>
      </c>
      <c r="E34" s="34" t="s">
        <v>10</v>
      </c>
      <c r="F34" s="9" t="s">
        <v>93</v>
      </c>
      <c r="G34" s="9" t="s">
        <v>94</v>
      </c>
      <c r="H34" s="9" t="s">
        <v>16</v>
      </c>
      <c r="I34" s="15">
        <v>46266</v>
      </c>
      <c r="J34" s="6">
        <v>59.38</v>
      </c>
      <c r="K34" s="5">
        <v>453250.35</v>
      </c>
      <c r="L34" s="6">
        <v>59.38</v>
      </c>
      <c r="M34" s="5">
        <v>453250.35</v>
      </c>
      <c r="N34" s="5">
        <v>45.7</v>
      </c>
      <c r="O34" s="5">
        <v>453250.35</v>
      </c>
      <c r="P34" s="5">
        <v>45.7</v>
      </c>
      <c r="Q34" s="5">
        <v>453250.35</v>
      </c>
      <c r="R34" s="5">
        <v>0</v>
      </c>
      <c r="S34" s="5">
        <v>0</v>
      </c>
      <c r="T34" s="5">
        <v>0</v>
      </c>
      <c r="U34" s="18">
        <v>0</v>
      </c>
      <c r="V34" s="14">
        <f t="shared" si="5"/>
        <v>210.16</v>
      </c>
      <c r="W34" s="16"/>
      <c r="X34" s="17">
        <v>46259</v>
      </c>
    </row>
    <row r="35" spans="1:25" x14ac:dyDescent="0.25">
      <c r="A35" s="6">
        <v>54941</v>
      </c>
      <c r="B35" s="9" t="s">
        <v>45</v>
      </c>
      <c r="C35" s="6">
        <v>115971170</v>
      </c>
      <c r="D35" s="9" t="s">
        <v>97</v>
      </c>
      <c r="E35" s="34" t="s">
        <v>98</v>
      </c>
      <c r="F35" s="9" t="s">
        <v>99</v>
      </c>
      <c r="G35" s="9" t="s">
        <v>103</v>
      </c>
      <c r="H35" s="9" t="s">
        <v>37</v>
      </c>
      <c r="I35" s="15">
        <v>46296</v>
      </c>
      <c r="J35" s="6">
        <v>30.63</v>
      </c>
      <c r="K35" s="5">
        <v>24341.48</v>
      </c>
      <c r="L35" s="6">
        <v>30.63</v>
      </c>
      <c r="M35" s="5">
        <v>24341.48</v>
      </c>
      <c r="N35" s="6">
        <v>17.649999999999999</v>
      </c>
      <c r="O35" s="5">
        <v>24341.48</v>
      </c>
      <c r="P35" s="6">
        <v>17.649999999999999</v>
      </c>
      <c r="Q35" s="5">
        <v>24341.48</v>
      </c>
      <c r="R35" s="5">
        <v>0</v>
      </c>
      <c r="S35" s="5">
        <v>0</v>
      </c>
      <c r="T35" s="5">
        <v>200</v>
      </c>
      <c r="U35" s="5">
        <v>275862.07</v>
      </c>
      <c r="V35" s="14">
        <f t="shared" ref="V35:V38" si="6">SUM(T35,R35,P35,N35,L35,J35)</f>
        <v>296.56</v>
      </c>
      <c r="W35" s="16"/>
      <c r="X35" s="17">
        <v>46262</v>
      </c>
    </row>
    <row r="36" spans="1:25" x14ac:dyDescent="0.25">
      <c r="A36" s="6">
        <v>54160</v>
      </c>
      <c r="B36" s="9" t="s">
        <v>45</v>
      </c>
      <c r="C36" s="6">
        <v>115937651</v>
      </c>
      <c r="D36" s="9" t="s">
        <v>97</v>
      </c>
      <c r="E36" s="34" t="s">
        <v>98</v>
      </c>
      <c r="F36" s="9" t="s">
        <v>100</v>
      </c>
      <c r="G36" s="9" t="s">
        <v>104</v>
      </c>
      <c r="H36" s="9" t="s">
        <v>16</v>
      </c>
      <c r="I36" s="15">
        <v>46296</v>
      </c>
      <c r="J36" s="5">
        <v>0.98</v>
      </c>
      <c r="K36" s="5">
        <v>7460.57</v>
      </c>
      <c r="L36" s="5">
        <v>0.98</v>
      </c>
      <c r="M36" s="5">
        <v>7460.57</v>
      </c>
      <c r="N36" s="5">
        <v>0.75</v>
      </c>
      <c r="O36" s="5">
        <v>7460.57</v>
      </c>
      <c r="P36" s="5">
        <v>0.75</v>
      </c>
      <c r="Q36" s="5">
        <v>7460.57</v>
      </c>
      <c r="R36" s="5">
        <v>0</v>
      </c>
      <c r="S36" s="5">
        <v>0</v>
      </c>
      <c r="T36" s="5">
        <v>0</v>
      </c>
      <c r="U36" s="5">
        <v>0</v>
      </c>
      <c r="V36" s="14">
        <f t="shared" si="6"/>
        <v>3.46</v>
      </c>
      <c r="W36" s="16"/>
      <c r="X36" s="17">
        <v>46262</v>
      </c>
    </row>
    <row r="37" spans="1:25" x14ac:dyDescent="0.25">
      <c r="A37" s="6">
        <v>54576</v>
      </c>
      <c r="B37" s="9" t="s">
        <v>45</v>
      </c>
      <c r="C37" s="6">
        <v>115971178</v>
      </c>
      <c r="D37" s="9" t="s">
        <v>97</v>
      </c>
      <c r="E37" s="34" t="s">
        <v>98</v>
      </c>
      <c r="F37" s="9" t="s">
        <v>101</v>
      </c>
      <c r="G37" s="9" t="s">
        <v>105</v>
      </c>
      <c r="H37" s="9" t="s">
        <v>37</v>
      </c>
      <c r="I37" s="15">
        <v>46296</v>
      </c>
      <c r="J37" s="5">
        <v>18.489999999999998</v>
      </c>
      <c r="K37" s="5">
        <v>141157.96</v>
      </c>
      <c r="L37" s="5">
        <v>18.489999999999998</v>
      </c>
      <c r="M37" s="5">
        <v>141157.96</v>
      </c>
      <c r="N37" s="5">
        <v>14.23</v>
      </c>
      <c r="O37" s="5">
        <v>141157.96</v>
      </c>
      <c r="P37" s="5">
        <v>14.23</v>
      </c>
      <c r="Q37" s="5">
        <v>141157.96</v>
      </c>
      <c r="R37" s="5">
        <v>0</v>
      </c>
      <c r="S37" s="5">
        <v>0</v>
      </c>
      <c r="T37" s="5">
        <v>0</v>
      </c>
      <c r="U37" s="5">
        <v>0</v>
      </c>
      <c r="V37" s="14">
        <f t="shared" si="6"/>
        <v>65.44</v>
      </c>
      <c r="W37" s="16"/>
      <c r="X37" s="17">
        <v>46262</v>
      </c>
    </row>
    <row r="38" spans="1:25" x14ac:dyDescent="0.25">
      <c r="A38" s="6">
        <v>55069</v>
      </c>
      <c r="B38" s="9" t="s">
        <v>45</v>
      </c>
      <c r="C38" s="6">
        <v>115937657</v>
      </c>
      <c r="D38" s="9" t="s">
        <v>97</v>
      </c>
      <c r="E38" s="34" t="s">
        <v>98</v>
      </c>
      <c r="F38" s="9" t="s">
        <v>102</v>
      </c>
      <c r="G38" s="9" t="s">
        <v>106</v>
      </c>
      <c r="H38" s="9"/>
      <c r="I38" s="15">
        <v>46296</v>
      </c>
      <c r="J38" s="6">
        <v>80.37</v>
      </c>
      <c r="K38" s="5">
        <v>246853.96</v>
      </c>
      <c r="L38" s="6">
        <v>80.37</v>
      </c>
      <c r="M38" s="5">
        <v>246853.96</v>
      </c>
      <c r="N38" s="6">
        <v>41.72</v>
      </c>
      <c r="O38" s="5">
        <v>246853.96</v>
      </c>
      <c r="P38" s="6">
        <v>41.72</v>
      </c>
      <c r="Q38" s="5">
        <v>246853.96</v>
      </c>
      <c r="R38" s="5">
        <v>0</v>
      </c>
      <c r="S38" s="5">
        <v>0</v>
      </c>
      <c r="T38" s="5">
        <v>0</v>
      </c>
      <c r="U38" s="18">
        <v>0</v>
      </c>
      <c r="V38" s="14">
        <f t="shared" si="6"/>
        <v>244.18</v>
      </c>
      <c r="W38" s="16"/>
      <c r="X38" s="17">
        <v>46262</v>
      </c>
    </row>
    <row r="39" spans="1:25" x14ac:dyDescent="0.25">
      <c r="A39" s="36">
        <v>65426</v>
      </c>
      <c r="B39" s="37" t="s">
        <v>107</v>
      </c>
      <c r="C39" s="38" t="s">
        <v>107</v>
      </c>
      <c r="D39" s="38" t="s">
        <v>9</v>
      </c>
      <c r="E39" s="37" t="s">
        <v>107</v>
      </c>
      <c r="F39" s="39" t="s">
        <v>108</v>
      </c>
      <c r="G39" s="38" t="s">
        <v>109</v>
      </c>
      <c r="H39" s="37" t="s">
        <v>107</v>
      </c>
      <c r="I39" s="40">
        <v>46235</v>
      </c>
      <c r="J39" s="41">
        <v>45.89</v>
      </c>
      <c r="K39" s="41">
        <v>350245.18859999994</v>
      </c>
      <c r="L39" s="41">
        <v>45.89</v>
      </c>
      <c r="M39" s="41">
        <v>350245.18859999994</v>
      </c>
      <c r="N39" s="41">
        <v>35.32</v>
      </c>
      <c r="O39" s="41">
        <v>350245.18859999994</v>
      </c>
      <c r="P39" s="41">
        <v>35.32</v>
      </c>
      <c r="Q39" s="41">
        <v>350245.18859999994</v>
      </c>
      <c r="R39" s="41">
        <v>0</v>
      </c>
      <c r="S39" s="41">
        <v>0</v>
      </c>
      <c r="T39" s="41">
        <v>0</v>
      </c>
      <c r="U39" s="41">
        <v>0</v>
      </c>
      <c r="V39" s="42">
        <f>SUM(J39,L39,N39,P39,R39,T39)</f>
        <v>162.41999999999999</v>
      </c>
      <c r="W39" s="41" t="s">
        <v>9</v>
      </c>
      <c r="X39" s="3">
        <v>46267</v>
      </c>
      <c r="Y39" s="1" t="s">
        <v>70</v>
      </c>
    </row>
    <row r="40" spans="1:25" x14ac:dyDescent="0.25">
      <c r="A40" s="36">
        <v>65427</v>
      </c>
      <c r="B40" s="37" t="s">
        <v>107</v>
      </c>
      <c r="C40" s="38" t="s">
        <v>107</v>
      </c>
      <c r="D40" s="38" t="s">
        <v>9</v>
      </c>
      <c r="E40" s="37" t="s">
        <v>107</v>
      </c>
      <c r="F40" s="39" t="s">
        <v>110</v>
      </c>
      <c r="G40" s="38" t="s">
        <v>111</v>
      </c>
      <c r="H40" s="37" t="s">
        <v>107</v>
      </c>
      <c r="I40" s="40">
        <v>46235</v>
      </c>
      <c r="J40" s="41">
        <v>55.38</v>
      </c>
      <c r="K40" s="41">
        <v>422667.83069999993</v>
      </c>
      <c r="L40" s="41">
        <v>55.38</v>
      </c>
      <c r="M40" s="41">
        <v>422667.83069999993</v>
      </c>
      <c r="N40" s="41">
        <v>42.62</v>
      </c>
      <c r="O40" s="41">
        <v>422667.83069999993</v>
      </c>
      <c r="P40" s="41">
        <v>42.62</v>
      </c>
      <c r="Q40" s="41">
        <v>422667.83069999993</v>
      </c>
      <c r="R40" s="41">
        <v>0</v>
      </c>
      <c r="S40" s="41">
        <v>0</v>
      </c>
      <c r="T40" s="41">
        <v>0</v>
      </c>
      <c r="U40" s="41">
        <v>0</v>
      </c>
      <c r="V40" s="42">
        <f t="shared" ref="V40:V42" si="7">SUM(J40,L40,N40,P40,R40,T40)</f>
        <v>196</v>
      </c>
      <c r="W40" s="41" t="s">
        <v>9</v>
      </c>
      <c r="X40" s="3">
        <v>46267</v>
      </c>
    </row>
    <row r="41" spans="1:25" x14ac:dyDescent="0.25">
      <c r="A41" s="36">
        <v>65428</v>
      </c>
      <c r="B41" s="37" t="s">
        <v>107</v>
      </c>
      <c r="C41" s="38" t="s">
        <v>107</v>
      </c>
      <c r="D41" s="38" t="s">
        <v>9</v>
      </c>
      <c r="E41" s="37" t="s">
        <v>107</v>
      </c>
      <c r="F41" s="39" t="s">
        <v>112</v>
      </c>
      <c r="G41" s="38" t="s">
        <v>113</v>
      </c>
      <c r="H41" s="37" t="s">
        <v>107</v>
      </c>
      <c r="I41" s="40">
        <v>46235</v>
      </c>
      <c r="J41" s="41">
        <v>18.79</v>
      </c>
      <c r="K41" s="41">
        <v>57712.712499999972</v>
      </c>
      <c r="L41" s="41">
        <v>18.79</v>
      </c>
      <c r="M41" s="41">
        <v>57712.712499999972</v>
      </c>
      <c r="N41" s="41">
        <v>9.75</v>
      </c>
      <c r="O41" s="41">
        <v>57712.712499999972</v>
      </c>
      <c r="P41" s="41">
        <v>9.75</v>
      </c>
      <c r="Q41" s="41">
        <v>57712.712499999972</v>
      </c>
      <c r="R41" s="41">
        <v>0</v>
      </c>
      <c r="S41" s="41">
        <v>0</v>
      </c>
      <c r="T41" s="41">
        <v>0</v>
      </c>
      <c r="U41" s="41">
        <v>0</v>
      </c>
      <c r="V41" s="42">
        <f t="shared" si="7"/>
        <v>57.08</v>
      </c>
      <c r="W41" s="43" t="s">
        <v>9</v>
      </c>
      <c r="X41" s="3">
        <v>46267</v>
      </c>
    </row>
    <row r="42" spans="1:25" x14ac:dyDescent="0.25">
      <c r="A42" s="36">
        <v>65429</v>
      </c>
      <c r="B42" s="37" t="s">
        <v>107</v>
      </c>
      <c r="C42" s="38" t="s">
        <v>107</v>
      </c>
      <c r="D42" s="38" t="s">
        <v>9</v>
      </c>
      <c r="E42" s="37" t="s">
        <v>107</v>
      </c>
      <c r="F42" s="39" t="s">
        <v>114</v>
      </c>
      <c r="G42" s="38" t="s">
        <v>115</v>
      </c>
      <c r="H42" s="37" t="s">
        <v>107</v>
      </c>
      <c r="I42" s="40">
        <v>46235</v>
      </c>
      <c r="J42" s="41">
        <v>6.66</v>
      </c>
      <c r="K42" s="41">
        <v>50813.96469999999</v>
      </c>
      <c r="L42" s="41">
        <v>6.66</v>
      </c>
      <c r="M42" s="41">
        <v>50813.96469999999</v>
      </c>
      <c r="N42" s="41">
        <v>5.12</v>
      </c>
      <c r="O42" s="41">
        <v>50813.96469999999</v>
      </c>
      <c r="P42" s="41">
        <v>5.12</v>
      </c>
      <c r="Q42" s="41">
        <v>50813.96469999999</v>
      </c>
      <c r="R42" s="41">
        <v>0</v>
      </c>
      <c r="S42" s="41">
        <v>0</v>
      </c>
      <c r="T42" s="41">
        <v>0</v>
      </c>
      <c r="U42" s="41">
        <v>0</v>
      </c>
      <c r="V42" s="42">
        <f t="shared" si="7"/>
        <v>23.560000000000002</v>
      </c>
      <c r="W42" s="43" t="s">
        <v>9</v>
      </c>
      <c r="X42" s="3">
        <v>46267</v>
      </c>
    </row>
    <row r="43" spans="1:25" x14ac:dyDescent="0.25">
      <c r="A43" s="36">
        <v>65431</v>
      </c>
      <c r="B43" s="37" t="s">
        <v>107</v>
      </c>
      <c r="C43" s="36" t="s">
        <v>107</v>
      </c>
      <c r="D43" s="36" t="s">
        <v>9</v>
      </c>
      <c r="E43" s="37" t="s">
        <v>107</v>
      </c>
      <c r="F43" s="44" t="s">
        <v>116</v>
      </c>
      <c r="G43" s="36" t="s">
        <v>117</v>
      </c>
      <c r="H43" s="37" t="s">
        <v>107</v>
      </c>
      <c r="I43" s="45">
        <v>46235</v>
      </c>
      <c r="J43" s="46">
        <v>56.95</v>
      </c>
      <c r="K43" s="46">
        <v>174920.42099999997</v>
      </c>
      <c r="L43" s="46">
        <v>56.95</v>
      </c>
      <c r="M43" s="46">
        <v>174920.42099999997</v>
      </c>
      <c r="N43" s="46">
        <v>29.56</v>
      </c>
      <c r="O43" s="46">
        <v>174920.42099999997</v>
      </c>
      <c r="P43" s="46">
        <v>29.56</v>
      </c>
      <c r="Q43" s="46">
        <v>174920.42099999997</v>
      </c>
      <c r="R43" s="46">
        <v>0</v>
      </c>
      <c r="S43" s="46">
        <v>0</v>
      </c>
      <c r="T43" s="46">
        <v>0</v>
      </c>
      <c r="U43" s="46">
        <v>0</v>
      </c>
      <c r="V43" s="47">
        <f>SUM(T43,R43,P43,N43,L43,J43)</f>
        <v>173.01999999999998</v>
      </c>
      <c r="W43" s="46" t="s">
        <v>9</v>
      </c>
      <c r="X43" s="3">
        <v>46267</v>
      </c>
    </row>
    <row r="44" spans="1:25" x14ac:dyDescent="0.25">
      <c r="A44" s="36">
        <v>65432</v>
      </c>
      <c r="B44" s="37" t="s">
        <v>107</v>
      </c>
      <c r="C44" s="36" t="s">
        <v>107</v>
      </c>
      <c r="D44" s="36" t="s">
        <v>9</v>
      </c>
      <c r="E44" s="37" t="s">
        <v>107</v>
      </c>
      <c r="F44" s="44" t="s">
        <v>118</v>
      </c>
      <c r="G44" s="36" t="s">
        <v>119</v>
      </c>
      <c r="H44" s="37" t="s">
        <v>107</v>
      </c>
      <c r="I44" s="45">
        <v>46235</v>
      </c>
      <c r="J44" s="46">
        <v>45.56</v>
      </c>
      <c r="K44" s="46">
        <v>236948.35645000002</v>
      </c>
      <c r="L44" s="46">
        <v>45.56</v>
      </c>
      <c r="M44" s="46">
        <v>236948.35645000002</v>
      </c>
      <c r="N44" s="46">
        <v>30.17</v>
      </c>
      <c r="O44" s="46">
        <v>236948.35645000002</v>
      </c>
      <c r="P44" s="46">
        <v>30.17</v>
      </c>
      <c r="Q44" s="46">
        <v>236948.35645000002</v>
      </c>
      <c r="R44" s="46">
        <v>0</v>
      </c>
      <c r="S44" s="46">
        <v>0</v>
      </c>
      <c r="T44" s="46">
        <v>0</v>
      </c>
      <c r="U44" s="46">
        <v>0</v>
      </c>
      <c r="V44" s="47">
        <f t="shared" ref="V44" si="8">SUM(T44,R44,P44,N44,L44,J44)</f>
        <v>151.46</v>
      </c>
      <c r="W44" s="46" t="s">
        <v>9</v>
      </c>
      <c r="X44" s="3">
        <v>46267</v>
      </c>
    </row>
  </sheetData>
  <sortState xmlns:xlrd2="http://schemas.microsoft.com/office/spreadsheetml/2017/richdata2" ref="A16:X22">
    <sortCondition ref="F16:F22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de Bortoli Barroso</dc:creator>
  <cp:lastModifiedBy>Alexandre Barroso</cp:lastModifiedBy>
  <dcterms:created xsi:type="dcterms:W3CDTF">2026-07-16T14:15:04Z</dcterms:created>
  <dcterms:modified xsi:type="dcterms:W3CDTF">2026-09-02T20:00:35Z</dcterms:modified>
</cp:coreProperties>
</file>